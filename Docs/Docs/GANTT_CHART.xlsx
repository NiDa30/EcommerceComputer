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Kiểm thử pm\pj kiểm thử\EcommerceComputer-V3\Docs\Docs\"/>
    </mc:Choice>
  </mc:AlternateContent>
  <xr:revisionPtr revIDLastSave="0" documentId="13_ncr:1_{79A5BAD1-008F-47B5-B978-38DC41DE319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antt_Chart_Tong_The" sheetId="1" r:id="rId1"/>
    <sheet name="Theo_Doi_Thanh_Vien" sheetId="2" r:id="rId2"/>
    <sheet name="Tien_Do_Hang_Ngay" sheetId="3" r:id="rId3"/>
    <sheet name="Cot_Moc_5_Tua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2" i="1" l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J42" i="1"/>
</calcChain>
</file>

<file path=xl/sharedStrings.xml><?xml version="1.0" encoding="utf-8"?>
<sst xmlns="http://schemas.openxmlformats.org/spreadsheetml/2006/main" count="877" uniqueCount="487">
  <si>
    <t>BỘ MÔN KIỂM THỬ PHẦN MỀM - BÁO CÁO TIẾN ĐỘ ĐỒ ÁN MÔN HỌC</t>
  </si>
  <si>
    <t>📊 BIỂU ĐỒ GANTT THEO DÕI TIẾN ĐỘ HẰNG NGÀY CHO 5 TUẦN (DAILY GANTT CHART)</t>
  </si>
  <si>
    <t>Dự án: Ecommerce Computer (Store EF) - Phiên bản V3 | 5 Thành viên | 5 Tuần (25 Ngày làm việc: 14/09/2026 - 16/10/2026)</t>
  </si>
  <si>
    <t>TỔNG THÀNH VIÊN</t>
  </si>
  <si>
    <t>TỔNG THỜI GIAN</t>
  </si>
  <si>
    <t>CỘT MỐC NGHIỆM THU</t>
  </si>
  <si>
    <t>TIẾN ĐỘ THỰC HIỆN</t>
  </si>
  <si>
    <t>ĐÁNH GIÁ ĐÓNG GÓP</t>
  </si>
  <si>
    <t>05 Thành viên</t>
  </si>
  <si>
    <t>5 Tuần (25 Ngày)</t>
  </si>
  <si>
    <t>5 Cột mốc (M1 - M5)</t>
  </si>
  <si>
    <t>100% (Đạt mục tiêu)</t>
  </si>
  <si>
    <t>5/5 Thành viên Đạt YC</t>
  </si>
  <si>
    <t>Mã WBS</t>
  </si>
  <si>
    <t>Tuần</t>
  </si>
  <si>
    <t>Giai đoạn</t>
  </si>
  <si>
    <t>Hạng mục công việc chi tiết</t>
  </si>
  <si>
    <t>Phụ trách
chính</t>
  </si>
  <si>
    <t>Hỗ trợ /
Review</t>
  </si>
  <si>
    <t>Mục BC</t>
  </si>
  <si>
    <t>Ngày BĐ</t>
  </si>
  <si>
    <t>Ngày KT</t>
  </si>
  <si>
    <t>Số ngày</t>
  </si>
  <si>
    <t>Tiến độ</t>
  </si>
  <si>
    <t>Trạng thái</t>
  </si>
  <si>
    <t>TUẦN 1: KHỞI ĐỘNG &amp; TEST PLAN (14/09 - 18/09)</t>
  </si>
  <si>
    <t>TUẦN 2: THIẾT KẾ TEST CASES (21/09 - 25/09)</t>
  </si>
  <si>
    <t>TUẦN 3: TỰ ĐỘNG &amp; TEST CYCLE 1 (28/09 - 02/10)</t>
  </si>
  <si>
    <t>TUẦN 4: TÍCH HỢP &amp; DEFECT REPORT (05/10 - 09/10)</t>
  </si>
  <si>
    <t>TUẦN 5: RETEST &amp; HOÀN THIỆN NỘP BÀI (12/10 - 16/10)</t>
  </si>
  <si>
    <t>D01
T2</t>
  </si>
  <si>
    <t>D02
T3</t>
  </si>
  <si>
    <t>D03
T4</t>
  </si>
  <si>
    <t>D04
T5</t>
  </si>
  <si>
    <t>D05
T6</t>
  </si>
  <si>
    <t>D06
T2</t>
  </si>
  <si>
    <t>D07
T3</t>
  </si>
  <si>
    <t>D08
T4</t>
  </si>
  <si>
    <t>D09
T5</t>
  </si>
  <si>
    <t>D10
T6</t>
  </si>
  <si>
    <t>D11
T2</t>
  </si>
  <si>
    <t>D12
T3</t>
  </si>
  <si>
    <t>D13
T4</t>
  </si>
  <si>
    <t>D14
T5</t>
  </si>
  <si>
    <t>D15
T6</t>
  </si>
  <si>
    <t>D16
T2</t>
  </si>
  <si>
    <t>D17
T3</t>
  </si>
  <si>
    <t>D18
T4</t>
  </si>
  <si>
    <t>D19
T5</t>
  </si>
  <si>
    <t>D20
T6</t>
  </si>
  <si>
    <t>D21
T2</t>
  </si>
  <si>
    <t>D22
T3</t>
  </si>
  <si>
    <t>D23
T4</t>
  </si>
  <si>
    <t>D24
T5</t>
  </si>
  <si>
    <t>D25
T6</t>
  </si>
  <si>
    <t>1.1</t>
  </si>
  <si>
    <t>Tuần 1</t>
  </si>
  <si>
    <t>1. Khởi động</t>
  </si>
  <si>
    <t>Họp Kick-off, thống nhất phân công, thiết lập Git/Drive</t>
  </si>
  <si>
    <t>TV01</t>
  </si>
  <si>
    <t>Cả nhóm</t>
  </si>
  <si>
    <t>Bìa, MĐ</t>
  </si>
  <si>
    <t>14/09/2026</t>
  </si>
  <si>
    <t>15/09/2026</t>
  </si>
  <si>
    <t>Hoàn thành</t>
  </si>
  <si>
    <t>■</t>
  </si>
  <si>
    <t>1.2</t>
  </si>
  <si>
    <t>Khảo sát kiến trúc Store EF MVC, DB Store.sql, phân tích yêu cầu</t>
  </si>
  <si>
    <t>TV02</t>
  </si>
  <si>
    <t>TV03</t>
  </si>
  <si>
    <t>16/09/2026</t>
  </si>
  <si>
    <t>1.3</t>
  </si>
  <si>
    <t>Cài đặt môi trường 5 máy: VS, LocalDB, IIS, test run.bat port 5000</t>
  </si>
  <si>
    <t>TV04</t>
  </si>
  <si>
    <t>1.4-1.5</t>
  </si>
  <si>
    <t>17/09/2026</t>
  </si>
  <si>
    <t>1.4</t>
  </si>
  <si>
    <t>Khảo sát CSDL, Triggers và SP Giỏ hàng; Setup Store.Tests</t>
  </si>
  <si>
    <t>TV05</t>
  </si>
  <si>
    <t>1.5</t>
  </si>
  <si>
    <t>Biên soạn Chương 1: Lời mở đầu, Mục 1.1 đến 1.6 &amp; Test Plan</t>
  </si>
  <si>
    <t>Chương 1</t>
  </si>
  <si>
    <t>18/09/2026</t>
  </si>
  <si>
    <t>1.6</t>
  </si>
  <si>
    <t>Họp Check-in Tuần 1, nghiệm thu Cột mốc 1 (M1: Môi trường &amp; Test Plan)</t>
  </si>
  <si>
    <t>M1</t>
  </si>
  <si>
    <t>2.1</t>
  </si>
  <si>
    <t>Tuần 2</t>
  </si>
  <si>
    <t>2. Thiết kế</t>
  </si>
  <si>
    <t>Soạn Mục 2.1 (Cơ sở lý thuyết EP, BVA, Decision Table)</t>
  </si>
  <si>
    <t>21/09/2026</t>
  </si>
  <si>
    <t>22/09/2026</t>
  </si>
  <si>
    <t>2.2</t>
  </si>
  <si>
    <t>Thiết kế bộ TC Auth &amp; Account: SignUp, SignIn, Logout, Profile (25-35 TC)</t>
  </si>
  <si>
    <t>2.2.1</t>
  </si>
  <si>
    <t>24/09/2026</t>
  </si>
  <si>
    <t>2.3</t>
  </si>
  <si>
    <t>Thiết kế bộ TC Product &amp; Admin: List, Filter, Search, CRUD, Review (30-40 TC)</t>
  </si>
  <si>
    <t>2.2.2-4</t>
  </si>
  <si>
    <t>2.4</t>
  </si>
  <si>
    <t>Thiết kế bộ TC Cart &amp; CheckOut: Thêm, Xem, Xóa giỏ, Lưu đơn hàng (20 TC)</t>
  </si>
  <si>
    <t>2.2.2</t>
  </si>
  <si>
    <t>23/09/2026</t>
  </si>
  <si>
    <t>2.5</t>
  </si>
  <si>
    <t>Thiết kế bộ TC Tích hợp (Integration): Triggers, SP AddCart, DbContext</t>
  </si>
  <si>
    <t>25/09/2026</t>
  </si>
  <si>
    <t>2.6</t>
  </si>
  <si>
    <t>Thiết kế kịch bản Unit Test cho ProductExts &amp; Helpers trong Store.Tests</t>
  </si>
  <si>
    <t>4.2</t>
  </si>
  <si>
    <t>2.7</t>
  </si>
  <si>
    <t>Review chéo chuẩn hóa toàn bộ Test Cases, nghiệm thu Cột mốc 2 (M2)</t>
  </si>
  <si>
    <t>M2</t>
  </si>
  <si>
    <t>3.1</t>
  </si>
  <si>
    <t>Tuần 3</t>
  </si>
  <si>
    <t>3. Tự động &amp; Test 1</t>
  </si>
  <si>
    <t>Biên soạn nội dung Chương 3 (3.1 - 3.5: Lý thuyết Automation &amp; Selenium IDE)</t>
  </si>
  <si>
    <t>Chương 3</t>
  </si>
  <si>
    <t>28/09/2026</t>
  </si>
  <si>
    <t>30/09/2026</t>
  </si>
  <si>
    <t>3.2</t>
  </si>
  <si>
    <t>Xây dựng, ghi &amp; tối ưu 5 kịch bản tự động Selenium IDE (.side)</t>
  </si>
  <si>
    <t>3.4</t>
  </si>
  <si>
    <t>29/09/2026</t>
  </si>
  <si>
    <t>02/10/2026</t>
  </si>
  <si>
    <t>3.3</t>
  </si>
  <si>
    <t>Thực thi kiểm thử Đợt 1 phân hệ Auth &amp; Profile trên Web, chụp ảnh minh chứng</t>
  </si>
  <si>
    <t>4.1.1</t>
  </si>
  <si>
    <t>01/10/2026</t>
  </si>
  <si>
    <t>Thực thi kiểm thử Đợt 1 phân hệ Product, Filter, Search trên Web</t>
  </si>
  <si>
    <t>4.1.2</t>
  </si>
  <si>
    <t>3.5</t>
  </si>
  <si>
    <t>Thực thi kiểm thử Đợt 1 Giỏ hàng, CheckOut &amp; Truy vấn SQL Server</t>
  </si>
  <si>
    <t>3.6</t>
  </si>
  <si>
    <t>Theo dõi tỷ lệ Pass/Fail Đợt 1, chuẩn bị khung Chương 4, nghiệm thu M3</t>
  </si>
  <si>
    <t>M3</t>
  </si>
  <si>
    <t>4.1</t>
  </si>
  <si>
    <t>Tuần 4</t>
  </si>
  <si>
    <t>4. Tích hợp &amp; Bug</t>
  </si>
  <si>
    <t>Thực thi kiểm thử tích hợp Triggers DB và Stored Procedure AddCart</t>
  </si>
  <si>
    <t>05/10/2026</t>
  </si>
  <si>
    <t>07/10/2026</t>
  </si>
  <si>
    <t>Chạy 5 kịch bản tự động Selenium IDE, đo thời gian; Chạy MSTest đo Coverage ≥70%</t>
  </si>
  <si>
    <t>4.2, 4.3</t>
  </si>
  <si>
    <t>4.3</t>
  </si>
  <si>
    <t>Kiểm thử bảo mật URL Admin, lập Defect Report chi tiết cho DEF-04</t>
  </si>
  <si>
    <t>4.5</t>
  </si>
  <si>
    <t>4.4</t>
  </si>
  <si>
    <t>Kiểm thử Regex Injection crash, trích xuất Serilog, lập Defect Report cho DEF-02</t>
  </si>
  <si>
    <t>Xác nhận và lập Defect Report cho DEF-01 (Remove xóa Product) &amp; DEF-03 (CheckOut DB)</t>
  </si>
  <si>
    <t>06/10/2026</t>
  </si>
  <si>
    <t>08/10/2026</t>
  </si>
  <si>
    <t>4.6</t>
  </si>
  <si>
    <t>Đề xuất giải pháp sửa mã nguồn chi tiết (Fix code) cho DEF-01 -&gt; DEF-04 (Mục 4.5.3)</t>
  </si>
  <si>
    <t>4.5.3</t>
  </si>
  <si>
    <t>09/10/2026</t>
  </si>
  <si>
    <t>4.7</t>
  </si>
  <si>
    <t>Họp Bug Triage phân loại lỗi, viết mục 2.4 (Kết luận C2), nghiệm thu M4</t>
  </si>
  <si>
    <t>M4, 2.4</t>
  </si>
  <si>
    <t>5.1</t>
  </si>
  <si>
    <t>Tuần 5</t>
  </si>
  <si>
    <t>5. Retest &amp; Nộp</t>
  </si>
  <si>
    <t>Retest các lỗi DEF-01 -&gt; DEF-04 sau khi áp dụng mã sửa lỗi</t>
  </si>
  <si>
    <t>TV03, TV04</t>
  </si>
  <si>
    <t>12/10/2026</t>
  </si>
  <si>
    <t>13/10/2026</t>
  </si>
  <si>
    <t>5.2</t>
  </si>
  <si>
    <t>Chạy Regression test tự động toàn bộ 5 script Selenium IDE &amp; MSTest</t>
  </si>
  <si>
    <t>14/10/2026</t>
  </si>
  <si>
    <t>5.3</t>
  </si>
  <si>
    <t>Kiểm thử hồi quy chéo (Cross-testing) toàn bộ các luồng nghiệp vụ cốt lõi</t>
  </si>
  <si>
    <t>5.4</t>
  </si>
  <si>
    <t>Tổng hợp số liệu Pass/Fail, vẽ biểu đồ tròn/cột (4.4), Kết luận C4 (4.6)</t>
  </si>
  <si>
    <t>4.4, 4.6</t>
  </si>
  <si>
    <t>15/10/2026</t>
  </si>
  <si>
    <t>5.5</t>
  </si>
  <si>
    <t>Soạn KẾT LUẬN tổng thể, TÀI LIỆU THAM KHẢO chuẩn IEEE/APA</t>
  </si>
  <si>
    <t>TV02, TV03</t>
  </si>
  <si>
    <t>KL, TLTK</t>
  </si>
  <si>
    <t>5.6</t>
  </si>
  <si>
    <t>Thiết kế Slide thuyết trình PowerPoint tổng quan đồ án (15-20 slides)</t>
  </si>
  <si>
    <t>Slide PPT</t>
  </si>
  <si>
    <t>16/10/2026</t>
  </si>
  <si>
    <t>5.7</t>
  </si>
  <si>
    <t>Format chuẩn toàn bộ file Word (.docx), mục lục tự động, in ấn &amp; đóng gói hồ sơ</t>
  </si>
  <si>
    <t>Toàn văn</t>
  </si>
  <si>
    <t>5.8</t>
  </si>
  <si>
    <t>Họp tổng kết dự án, ký biên bản đóng góp thành viên, nghiệm thu M5 &amp; Nộp bài</t>
  </si>
  <si>
    <t>M5</t>
  </si>
  <si>
    <t>TỔNG HỢP TOÀN DỰ ÁN (25 NGÀY / 5 TUẦN)</t>
  </si>
  <si>
    <t>100% HOÀN THÀNH</t>
  </si>
  <si>
    <t>👥 BẢNG THEO DÕI CÔNG VIỆC HẰNG NGÀY CHO 5 THÀNH VIÊN (MEMBER DAILY WORKLOAD)</t>
  </si>
  <si>
    <t>Chi tiết hoạt động thực hiện hằng ngày từ Ngày 01 (14/09/2026) đến Ngày 25 (16/10/2026)</t>
  </si>
  <si>
    <t>Mã TV</t>
  </si>
  <si>
    <t>Họ và tên thành viên</t>
  </si>
  <si>
    <t>Vai trò chuyên trách</t>
  </si>
  <si>
    <t>TUẦN 1 (14/09-18/09)</t>
  </si>
  <si>
    <t>TUẦN 2 (21/09-25/09)</t>
  </si>
  <si>
    <t>TUẦN 3 (28/09-02/10)</t>
  </si>
  <si>
    <t>TUẦN 4 (05/10-09/10)</t>
  </si>
  <si>
    <t>TUẦN 5 (12/10-16/10)</t>
  </si>
  <si>
    <t>Tổng
Ngày</t>
  </si>
  <si>
    <t>Test Lead / QA Project Manager</t>
  </si>
  <si>
    <t>Họp Kick-off, lập Git/Drive</t>
  </si>
  <si>
    <t>Soạn Lời mở đầu, Mục 1.1</t>
  </si>
  <si>
    <t>Soạn Mục 1.2, 1.3 RACI</t>
  </si>
  <si>
    <t>Soạn Mục 1.4, 1.5, 1.6</t>
  </si>
  <si>
    <t>Review Test Plan Cột mốc 1</t>
  </si>
  <si>
    <t>Chuẩn hóa mẫu Test Case</t>
  </si>
  <si>
    <t>Họp Check-in TC tiến độ</t>
  </si>
  <si>
    <t>Review TC Auth &amp; Prod</t>
  </si>
  <si>
    <t>Review TC Cart &amp; Integration</t>
  </si>
  <si>
    <t>Review Cột mốc 2 (M2)</t>
  </si>
  <si>
    <t>Khởi tạo bảng Test Run</t>
  </si>
  <si>
    <t>Giám sát Cycle 1 thực thi</t>
  </si>
  <si>
    <t>Rà soát ca test lỗi</t>
  </si>
  <si>
    <t>Chuẩn bị khung Chương 4</t>
  </si>
  <si>
    <t>Họp review Cột mốc 3 (M3)</t>
  </si>
  <si>
    <t>Phân loại danh sách Defect</t>
  </si>
  <si>
    <t>Chủ trì họp Bug Triage</t>
  </si>
  <si>
    <t>Soạn mục 4.1 &amp; 4.2</t>
  </si>
  <si>
    <t>Tổng hợp thống kê lỗi</t>
  </si>
  <si>
    <t>Nghiệm thu Cột mốc 4 (M4)</t>
  </si>
  <si>
    <t>Lập kế hoạch Regression</t>
  </si>
  <si>
    <t>Soạn mục 4.6 &amp; Kết luận</t>
  </si>
  <si>
    <t>Vẽ biểu đồ 4.4, review C4</t>
  </si>
  <si>
    <t>Format Word tổng thể</t>
  </si>
  <si>
    <t>Nghiệm thu M5 &amp; Nộp bài</t>
  </si>
  <si>
    <t>Manual Tester 1 (Auth &amp; Account)</t>
  </si>
  <si>
    <t>Khảo sát kiến trúc Store EF</t>
  </si>
  <si>
    <t>Cài đặt VS, LocalDB, DB</t>
  </si>
  <si>
    <t>Test sơ bộ Auth, BCrypt</t>
  </si>
  <si>
    <t>Xác định test data Auth</t>
  </si>
  <si>
    <t>Hoàn tất môi trường máy 2</t>
  </si>
  <si>
    <t>Soạn lý thuyết mục 2.1</t>
  </si>
  <si>
    <t>Thiết kế TC Đăng ký/nhập</t>
  </si>
  <si>
    <t>Thiết kế TC Profile, User</t>
  </si>
  <si>
    <t>Thiết kế TC RBAC URL</t>
  </si>
  <si>
    <t>Hoàn thiện 25-35 TC Auth</t>
  </si>
  <si>
    <t>Thực thi test Sign Up</t>
  </si>
  <si>
    <t>Thực thi test Sign In</t>
  </si>
  <si>
    <t>Thực thi test Profile</t>
  </si>
  <si>
    <t>Thực thi test Admin User</t>
  </si>
  <si>
    <t>Chụp ảnh minh chứng Auth</t>
  </si>
  <si>
    <t>Test lỗ hổng URL Admin</t>
  </si>
  <si>
    <t>Lập Defect Report DEF-04</t>
  </si>
  <si>
    <t>Rà soát ảnh lỗi DEF-04</t>
  </si>
  <si>
    <t>Hỗ trợ TV05 sửa RBAC</t>
  </si>
  <si>
    <t>Kiểm tra lại ca test Auth</t>
  </si>
  <si>
    <t>Retest DEF-04 sau fix</t>
  </si>
  <si>
    <t>Kiểm thử hồi quy Auth</t>
  </si>
  <si>
    <t>Kiểm thử chéo Cart/Prod</t>
  </si>
  <si>
    <t>Đóng góp phần Kết luận</t>
  </si>
  <si>
    <t>Tổng kết đóng gói hồ sơ</t>
  </si>
  <si>
    <t>Manual Tester 2 (Product &amp; Admin)</t>
  </si>
  <si>
    <t>Khảo sát cấu trúc Product</t>
  </si>
  <si>
    <t>Test chạy thử web port 5000</t>
  </si>
  <si>
    <t>Khảo sát Filter &amp; Regex</t>
  </si>
  <si>
    <t>Xác định test data Product</t>
  </si>
  <si>
    <t>Hoàn tất môi trường máy 3</t>
  </si>
  <si>
    <t>Thiết kế TC Duyệt &amp; Paging</t>
  </si>
  <si>
    <t>Thiết kế TC Filter &amp; Search</t>
  </si>
  <si>
    <t>Thiết kế TC Chi tiết &amp; CRUD</t>
  </si>
  <si>
    <t>Thiết kế TC Review &amp; Brand</t>
  </si>
  <si>
    <t>Hoàn thiện 30-40 TC Prod</t>
  </si>
  <si>
    <t>Thực thi test List &amp; Paging</t>
  </si>
  <si>
    <t>Thực thi test Search thường</t>
  </si>
  <si>
    <t>Thực thi test CRUD Admin</t>
  </si>
  <si>
    <t>Thực thi test Brand/Review</t>
  </si>
  <si>
    <t>Chụp ảnh minh chứng Prod</t>
  </si>
  <si>
    <t>Test Regex Injection Crash</t>
  </si>
  <si>
    <t>Trích log DEF-02 Serilog</t>
  </si>
  <si>
    <t>Soạn mục 2.4 Kết luận C2</t>
  </si>
  <si>
    <t>Hỗ trợ TV05 Regex.Escape</t>
  </si>
  <si>
    <t>Rà soát ảnh minh chứng</t>
  </si>
  <si>
    <t>Retest DEF-02 sau fix</t>
  </si>
  <si>
    <t>Kiểm thử hồi quy Product</t>
  </si>
  <si>
    <t>Kiểm thử chéo Auth/User</t>
  </si>
  <si>
    <t>Rà soát danh mục hình/bảng</t>
  </si>
  <si>
    <t>Integration Tester (Cart, Order &amp; DB)</t>
  </si>
  <si>
    <t>Khảo sát DB Cart &amp; Order_</t>
  </si>
  <si>
    <t>Kiểm tra Triggers &amp; SP Cart</t>
  </si>
  <si>
    <t>Test thao tác giỏ sơ bộ</t>
  </si>
  <si>
    <t>Xác định test data Giỏ/Đơn</t>
  </si>
  <si>
    <t>Hoàn tất môi trường máy 4</t>
  </si>
  <si>
    <t>Thiết kế TC Thêm vào giỏ</t>
  </si>
  <si>
    <t>Thiết kế TC Xem &amp; Xóa giỏ</t>
  </si>
  <si>
    <t>Thiết kế TC CheckOut lưu DB</t>
  </si>
  <si>
    <t>Thiết kế TC Triggers &amp; SP</t>
  </si>
  <si>
    <t>Hoàn thiện bộ TC Giỏ/Đơn</t>
  </si>
  <si>
    <t>Thực thi test Thêm giỏ hàng</t>
  </si>
  <si>
    <t>Xác nhận lỗi DEF-01 Remove</t>
  </si>
  <si>
    <t>Thực thi test CheckOut DB</t>
  </si>
  <si>
    <t>Test Trigger Tri_AddProduct</t>
  </si>
  <si>
    <t>Chụp ảnh web &amp; SQL query</t>
  </si>
  <si>
    <t>Test Trigger Tri_AddUser</t>
  </si>
  <si>
    <t>Lập Defect Report DEF-01</t>
  </si>
  <si>
    <t>Lập Defect Report DEF-03</t>
  </si>
  <si>
    <t>Hỗ trợ TV05 sửa mã DB</t>
  </si>
  <si>
    <t>Kiểm tra toàn vẹn SQL</t>
  </si>
  <si>
    <t>Retest DEF-01 &amp; DEF-03</t>
  </si>
  <si>
    <t>Kiểm thử hồi quy DB/Cart</t>
  </si>
  <si>
    <t>Kiểm tra tính nhất quán DB</t>
  </si>
  <si>
    <t>Làm Slide PPT thuyết trình</t>
  </si>
  <si>
    <t>Automation &amp; Unit Test Engineer</t>
  </si>
  <si>
    <t>Khảo sát Selenium IDE tool</t>
  </si>
  <si>
    <t>Tạo project Store.Tests</t>
  </si>
  <si>
    <t>Viết unit test Helpers mẫu</t>
  </si>
  <si>
    <t>Kiểm tra Record &amp; Playback</t>
  </si>
  <si>
    <t>Hoàn tất môi trường máy 5</t>
  </si>
  <si>
    <t>Lập danh sách TC Unit test</t>
  </si>
  <si>
    <t>Mã hóa Unit Test Helpers</t>
  </si>
  <si>
    <t>Mã hóa Unit Test ProductExts</t>
  </si>
  <si>
    <t>Mã hóa Unit Test MaxPage</t>
  </si>
  <si>
    <t>Build 100% Pass Store.Tests</t>
  </si>
  <si>
    <t>Soạn lý thuyết Chương 3</t>
  </si>
  <si>
    <t>Ghi kịch bản Auto_TC_01</t>
  </si>
  <si>
    <t>Ghi Auto_TC_02 &amp; 03</t>
  </si>
  <si>
    <t>Ghi Auto_TC_04 &amp; 05 (.side)</t>
  </si>
  <si>
    <t>Thực thi bộ 5 script Auto</t>
  </si>
  <si>
    <t>Đo Code Coverage (≥70%)</t>
  </si>
  <si>
    <t>Đo thời gian chạy Selenium</t>
  </si>
  <si>
    <t>Đề xuất sửa code DEF-01,02</t>
  </si>
  <si>
    <t>Đề xuất sửa code DEF-03,04</t>
  </si>
  <si>
    <t>Hoàn thành mục 4.5.3 Fix</t>
  </si>
  <si>
    <t>Chạy lại MSTest kiểm tra</t>
  </si>
  <si>
    <t>Regression 5 kịch bản .side</t>
  </si>
  <si>
    <t>Chuẩn hóa TLTK IEEE/APA</t>
  </si>
  <si>
    <t>Phối hợp làm Slide PPT</t>
  </si>
  <si>
    <t>📈 BẢNG THEO DÕI &amp; TÍCH LŨY TIẾN ĐỘ HẰNG NGÀY (DAILY PROGRESS TRACKER)</t>
  </si>
  <si>
    <t>Dự án: Ecommerce Computer (Store EF V3) | Theo dõi mục tiêu, khối lượng công việc và % lũy kế 25 ngày</t>
  </si>
  <si>
    <t>Ngày</t>
  </si>
  <si>
    <t>Thứ &amp; Ngày</t>
  </si>
  <si>
    <t>Mục tiêu trọng tâm trong ngày</t>
  </si>
  <si>
    <t>Số đầu việc</t>
  </si>
  <si>
    <t>Tiến độ ngày</t>
  </si>
  <si>
    <t>Tiến độ lũy kế</t>
  </si>
  <si>
    <t>Đánh giá ngày</t>
  </si>
  <si>
    <t>Ghi chú / Trạng thái Check-in</t>
  </si>
  <si>
    <t>D01</t>
  </si>
  <si>
    <t>T2 14/09/2026</t>
  </si>
  <si>
    <t>Khởi động dự án, họp Kick-off, phổ biến quy tắc DoD và phân tích kiến trúc MVC</t>
  </si>
  <si>
    <t>Đạt mục tiêu</t>
  </si>
  <si>
    <t>100% thành viên tham gia họp đầy đủ</t>
  </si>
  <si>
    <t>D02</t>
  </si>
  <si>
    <t>T3 15/09/2026</t>
  </si>
  <si>
    <t>Cài đặt môi trường 5 máy: VS 2022, LocalDB, restore DB Store.sql, test run.bat</t>
  </si>
  <si>
    <t>5 máy kết nối LocalDB thành công</t>
  </si>
  <si>
    <t>D03</t>
  </si>
  <si>
    <t>T4 16/09/2026</t>
  </si>
  <si>
    <t>Khảo sát chi tiết Auth, Products, Cart; Viết các bài Unit test Helpers mẫu</t>
  </si>
  <si>
    <t>Phát hiện sơ bộ các điểm nghẽn logic</t>
  </si>
  <si>
    <t>D04</t>
  </si>
  <si>
    <t>T5 17/09/2026</t>
  </si>
  <si>
    <t>Biên soạn Chương 1: 1.1 đến 1.5, Chiến lược kiểm thử, RACI &amp; Môi trường test</t>
  </si>
  <si>
    <t>Hoàn thành 80% bản thảo Chương 1</t>
  </si>
  <si>
    <t>D05</t>
  </si>
  <si>
    <t>T6 18/09/2026</t>
  </si>
  <si>
    <t>Họp Check-in Tuần 1, hoàn thiện Test Plan tổng thể, nghiệm thu Cột mốc 1 (M1)</t>
  </si>
  <si>
    <t>Hoàn thành M1</t>
  </si>
  <si>
    <t>Phê duyệt Test Plan v1.0 &amp; Môi trường OK</t>
  </si>
  <si>
    <t>D06</t>
  </si>
  <si>
    <t>T2 21/09/2026</t>
  </si>
  <si>
    <t>Soạn cơ sở lý thuyết EP/BVA (2.1); Thiết kế TC Đăng ký &amp; Duyệt sản phẩm</t>
  </si>
  <si>
    <t>Thống nhất biểu mẫu Test Case</t>
  </si>
  <si>
    <t>D07</t>
  </si>
  <si>
    <t>T3 22/09/2026</t>
  </si>
  <si>
    <t>Thiết kế TC Đăng nhập, Profile, Filter &amp; Search; Viết Unit test Helpers</t>
  </si>
  <si>
    <t>Hoàn thành bộ TC SignUp &amp; Filter</t>
  </si>
  <si>
    <t>D08</t>
  </si>
  <si>
    <t>T4 23/09/2026</t>
  </si>
  <si>
    <t>Thiết kế TC Admin User, Product CRUD, Cart, CheckOut; Viết Unit test ProductExts</t>
  </si>
  <si>
    <t>Hoàn thành 70% số lượng Test Cases</t>
  </si>
  <si>
    <t>D09</t>
  </si>
  <si>
    <t>T5 24/09/2026</t>
  </si>
  <si>
    <t>Thiết kế TC RBAC Admin, Regex Injection, Tích hợp Triggers; Viết Unit test MaxPage</t>
  </si>
  <si>
    <t>Bao phủ đầy đủ ca Positive &amp; Negative</t>
  </si>
  <si>
    <t>D10</t>
  </si>
  <si>
    <t>T6 25/09/2026</t>
  </si>
  <si>
    <t>Review chéo Test Cases, đóng gói bộ 110 Test Cases, nghiệm thu Cột mốc 2 (M2)</t>
  </si>
  <si>
    <t>Hoàn thành M2</t>
  </si>
  <si>
    <t>Bộ Test Case Specification hoàn chỉnh</t>
  </si>
  <si>
    <t>D11</t>
  </si>
  <si>
    <t>T2 28/09/2026</t>
  </si>
  <si>
    <t>Bắt đầu thực thi kiểm thử Đợt 1 (Auth, Product, Cart); Soạn lý thuyết Chương 3</t>
  </si>
  <si>
    <t>Khởi động Test Execution Cycle 1</t>
  </si>
  <si>
    <t>D12</t>
  </si>
  <si>
    <t>T3 29/09/2026</t>
  </si>
  <si>
    <t>Thực thi test Sign In, Search thường; Ghi kịch bản Auto_TC_01 Selenium IDE</t>
  </si>
  <si>
    <t>Ghi nhận lỗi xóa Cart xóa luôn Product</t>
  </si>
  <si>
    <t>D13</t>
  </si>
  <si>
    <t>T4 30/09/2026</t>
  </si>
  <si>
    <t>Thực thi test Profile, Product Detail, CheckOut; Ghi Auto_TC_02 &amp; Auto_TC_03</t>
  </si>
  <si>
    <t>Ghi nhận lỗi CheckOut không lưu DB</t>
  </si>
  <si>
    <t>D14</t>
  </si>
  <si>
    <t>T5 01/10/2026</t>
  </si>
  <si>
    <t>Thực thi test Admin User, Review, Brand; Ghi Auto_TC_04 &amp; Auto_TC_05 (.side)</t>
  </si>
  <si>
    <t>Hoàn thành ghi 5 script tự động</t>
  </si>
  <si>
    <t>D15</t>
  </si>
  <si>
    <t>T6 02/10/2026</t>
  </si>
  <si>
    <t>Họp Check-in Tuần 3, tổng hợp kết quả Cycle 1, nghiệm thu Cột mốc 3 (M3)</t>
  </si>
  <si>
    <t>Hoàn thành M3</t>
  </si>
  <si>
    <t>Bản thảo Chương 3 &amp; 5 Script .side OK</t>
  </si>
  <si>
    <t>D16</t>
  </si>
  <si>
    <t>T2 05/10/2026</t>
  </si>
  <si>
    <t>Thực thi kiểm thử Tích hợp Triggers/SP; Test bảo mật URL và Regex Crash</t>
  </si>
  <si>
    <t>Xác nhận 4 defect trọng yếu</t>
  </si>
  <si>
    <t>D17</t>
  </si>
  <si>
    <t>T3 06/10/2026</t>
  </si>
  <si>
    <t>Lập Defect Report DEF-04 và DEF-02 (trích xuất Serilog); Đo MSTest Coverage</t>
  </si>
  <si>
    <t>Code Coverage đạt 78.4% (&gt; 70%)</t>
  </si>
  <si>
    <t>D18</t>
  </si>
  <si>
    <t>T4 07/10/2026</t>
  </si>
  <si>
    <t>Lập Defect Report DEF-01 và DEF-03; Viết đề xuất sửa mã nguồn DEF-01, 02</t>
  </si>
  <si>
    <t>Hoàn thành 4 Defect Reports chi tiết</t>
  </si>
  <si>
    <t>D19</t>
  </si>
  <si>
    <t>T5 08/10/2026</t>
  </si>
  <si>
    <t>Viết đề xuất sửa code DEF-03, 04 (4.5.3); Soạn mục 4.1, 4.2 và 2.4</t>
  </si>
  <si>
    <t>Mục 4.5.3 giải pháp kỹ thuật hoàn tất</t>
  </si>
  <si>
    <t>D20</t>
  </si>
  <si>
    <t>T6 09/10/2026</t>
  </si>
  <si>
    <t>Họp Bug Triage, tổng kết Chương 4 đợt 1, nghiệm thu Cột mốc 4 (M4)</t>
  </si>
  <si>
    <t>Hoàn thành M4</t>
  </si>
  <si>
    <t>4 Bug Reports &amp; Code Fix sẵn sàng</t>
  </si>
  <si>
    <t>D21</t>
  </si>
  <si>
    <t>T2 12/10/2026</t>
  </si>
  <si>
    <t>Retest các lỗi DEF-01 đến DEF-04 sau fix; Chạy kiểm tra lại MSTest Unit Test</t>
  </si>
  <si>
    <t>100% 4 Defect được fix thành công</t>
  </si>
  <si>
    <t>D22</t>
  </si>
  <si>
    <t>T3 13/10/2026</t>
  </si>
  <si>
    <t>Chạy Regression test tự động toàn bộ 5 script Selenium IDE; Soạn mục 4.6 &amp; KL</t>
  </si>
  <si>
    <t>Hệ thống ổn định, không phát sinh lỗi mới</t>
  </si>
  <si>
    <t>D23</t>
  </si>
  <si>
    <t>T4 14/10/2026</t>
  </si>
  <si>
    <t>Kiểm thử hồi quy chéo (Cross-testing); Vẽ biểu đồ tròn/cột mục 4.4</t>
  </si>
  <si>
    <t>Biểu đồ phân bố test case hoàn thiện</t>
  </si>
  <si>
    <t>D24</t>
  </si>
  <si>
    <t>T5 15/10/2026</t>
  </si>
  <si>
    <t>Format Word tổng thể chuẩn học viện; Hoàn thiện Slide PPT thuyết trình</t>
  </si>
  <si>
    <t>File báo cáo Word hoàn chỉnh 100%</t>
  </si>
  <si>
    <t>D25</t>
  </si>
  <si>
    <t>T6 16/10/2026</t>
  </si>
  <si>
    <t>Họp tổng kết nghiệm thu Cột mốc 5 (M5); Ký biên bản đóng góp và nộp bài</t>
  </si>
  <si>
    <t>Hoàn thành M5</t>
  </si>
  <si>
    <t>Đóng gói toàn bộ hồ sơ nộp đồ án</t>
  </si>
  <si>
    <t>🎯 BẢNG THEO DÕI CỘT MỐC NGHIỆM THU 5 TUẦN (PROJECT MILESTONES M1 - M5)</t>
  </si>
  <si>
    <t>Dự án: Ecommerce Computer (Store EF V3) | Kế hoạch nghiệm thu theo từng tuần làm việc</t>
  </si>
  <si>
    <t>Cột mốc</t>
  </si>
  <si>
    <t>Thời gian</t>
  </si>
  <si>
    <t>Mục tiêu &amp; Nhiệm vụ trọng tâm các thành viên</t>
  </si>
  <si>
    <t>Sản phẩm bàn giao nghiệm thu (Deliverables)</t>
  </si>
  <si>
    <t>Đánh giá</t>
  </si>
  <si>
    <t>Cột mốc 1 (M1)</t>
  </si>
  <si>
    <t>Tuần 1: Khởi động &amp; Kế hoạch</t>
  </si>
  <si>
    <t>14/09/2026 – 18/09/2026
(Ngày 01 – Ngày 05)</t>
  </si>
  <si>
    <t>• TV01: Họp Kick-off, phân công nhiệm vụ, hoàn thiện Chương 1 &amp; Test Plan.
• TV02, TV03, TV04, TV05: Cài đặt Visual Studio, SQL LocalDB, restore Store.sql, test chạy thử web trên port 5000.</t>
  </si>
  <si>
    <t>✔ Biên bản họp phân công nhiệm vụ.
✔ Môi trường kiểm thử trên 5 máy sẵn sàng.
✔ Bản thảo Chương 1 hoàn thành.</t>
  </si>
  <si>
    <t>Cột mốc 2 (M2)</t>
  </si>
  <si>
    <t>Tuần 2: Thiết kế Test Cases</t>
  </si>
  <si>
    <t>21/09/2026 – 25/09/2026
(Ngày 06 – Ngày 10)</t>
  </si>
  <si>
    <t>• TV02: Soạn mục 2.1 &amp; bộ TC Auth/Account (2.2.1).
• TV03: Bộ TC Sản phẩm/Admin (2.2.2 - 2.2.4).
• TV04: Bộ TC Giỏ hàng/CheckOut &amp; Tích hợp (2.2.2, 2.3).
• TV05: Chuẩn bị kịch bản Unit Test cho Store.Tests.
• TV01: Review chéo &amp; chuẩn hóa bảng Test Cases.</t>
  </si>
  <si>
    <t>✔ Bộ Test Cases Specification hoàn chỉnh (100 - 120 TC).
✔ Dự án Unit Test Store.Tests build OK.
✔ Bản thảo Chương 2 hoàn thành.</t>
  </si>
  <si>
    <t>Cột mốc 3 (M3)</t>
  </si>
  <si>
    <t>Tuần 3: Tự động &amp; Test Cycle 1</t>
  </si>
  <si>
    <t>28/09/2026 – 02/10/2026
(Ngày 11 – Ngày 15)</t>
  </si>
  <si>
    <t>• TV05: Biên soạn Chương 3, xây dựng và ghi 5 kịch bản Selenium IDE (.side).
• TV02, TV03, TV04: Thực thi Test Execution Cycle 1 trên Web UI, chụp ảnh minh chứng.
• TV01: Giám sát kết quả Pass/Fail Đợt 1, chuẩn bị khung Chương 4.</t>
  </si>
  <si>
    <t>✔ Bản thảo Chương 3 hoàn chỉnh.
✔ 5 file kịch bản tự động Selenium IDE (.side).
✔ Bảng kết quả thực thi Đợt 1 kèm ảnh chụp.</t>
  </si>
  <si>
    <t>Cột mốc 4 (M4)</t>
  </si>
  <si>
    <t>Tuần 4: Tích hợp &amp; Defect Reports</t>
  </si>
  <si>
    <t>05/10/2026 – 09/10/2026
(Ngày 16 – Ngày 20)</t>
  </si>
  <si>
    <t>• TV04: Thực thi kiểm thử tích hợp Triggers DB và Stored Procedure.
• TV05: Chạy tự động Selenium IDE, đo MSTest Code Coverage (≥70%), viết fix code 4.5.3.
• TV02, TV03, TV04: Lập Defect Report chi tiết cho DEF-01, 02, 03, 04.
• TV01: Họp Bug Triage phân loại lỗi và tổng hợp kết quả.</t>
  </si>
  <si>
    <t>✔ 4 Defect Reports hoàn chỉnh (DEF-01 -&gt; DEF-04).
✔ Ảnh chụp Code Coverage đạt trên 70%.
✔ Mục 4.5.3 Đề xuất giải pháp sửa mã nguồn.</t>
  </si>
  <si>
    <t>Cột mốc 5 (M5)</t>
  </si>
  <si>
    <t>Tuần 5: Retest &amp; Bàn giao</t>
  </si>
  <si>
    <t>12/10/2026 – 16/10/2026
(Ngày 21 – Ngày 25)</t>
  </si>
  <si>
    <t>• Cả nhóm: Retest 4 lỗi DEF-01..04 sau khi fix, kiểm thử hồi quy (Regression test).
• TV05: Chạy lại toàn bộ kịch bản tự động và Unit Test.
• TV01: Tổng hợp số liệu Pass/Fail (4.4), vẽ biểu đồ, viết Kết luận &amp; TLTK.
• TV01: Format chuẩn Word, in ấn; TV04, TV05: Làm Slide PPT.</t>
  </si>
  <si>
    <t>✔ File Báo cáo đồ án Word (.docx) hoàn chỉnh 100%.
✔ Slide thuyết trình PowerPoint.
✔ Thư mục nộp bài đầy đủ (Word, Excel Gantt, TC, .side, MSTest).</t>
  </si>
  <si>
    <t>TRƯỞNG NHÓM (TEST LEAD)</t>
  </si>
  <si>
    <t>GIẢNG VIÊN HƯỚNG DẪN</t>
  </si>
  <si>
    <t>(Ký và ghi rõ họ tên)</t>
  </si>
  <si>
    <t>TV01: [Họ tên Trưởng nhóm]</t>
  </si>
  <si>
    <t>Chữ ký GV: ___________________________</t>
  </si>
  <si>
    <t>[Thạch Quốc Điền - Trưởng nhóm]</t>
  </si>
  <si>
    <t>Huỳnh Gia Phú</t>
  </si>
  <si>
    <t>MSSV</t>
  </si>
  <si>
    <t>Nguyễn Anh Thoại</t>
  </si>
  <si>
    <t>Nguyễn Huỳnh Long</t>
  </si>
  <si>
    <t>Phạm Văn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</si>
</sst>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5" x14ac:knownFonts="1">
    <font>
      <sz val="11"/>
      <color theme="1"/>
      <name val="Calibri"/>
      <family val="2"/>
      <scheme val="minor"/>
    </font>
    <font>
      <b/>
      <sz val="10"/>
      <color rgb="FF595959"/>
      <name val="Calibri"/>
    </font>
    <font>
      <b/>
      <sz val="15"/>
      <color rgb="FF1F4E79"/>
      <name val="Calibri"/>
    </font>
    <font>
      <i/>
      <sz val="10"/>
      <color rgb="FF595959"/>
      <name val="Calibri"/>
    </font>
    <font>
      <b/>
      <sz val="9"/>
      <color rgb="FF595959"/>
      <name val="Calibri"/>
    </font>
    <font>
      <b/>
      <sz val="13"/>
      <color rgb="FF1F4E79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9"/>
      <color rgb="FF000000"/>
      <name val="Calibri"/>
    </font>
    <font>
      <b/>
      <sz val="9"/>
      <color rgb="FF1F4E79"/>
      <name val="Calibri"/>
    </font>
    <font>
      <b/>
      <sz val="9"/>
      <color rgb="FF375623"/>
      <name val="Calibri"/>
    </font>
    <font>
      <b/>
      <sz val="8"/>
      <color rgb="FFFFFFFF"/>
      <name val="Calibri"/>
    </font>
    <font>
      <sz val="8"/>
      <color rgb="FFFFFFFF"/>
      <name val="Calibri"/>
    </font>
    <font>
      <b/>
      <sz val="9"/>
      <color rgb="FF7030A0"/>
      <name val="Calibri"/>
    </font>
    <font>
      <b/>
      <sz val="9"/>
      <color rgb="FF008080"/>
      <name val="Calibri"/>
    </font>
    <font>
      <b/>
      <sz val="9"/>
      <color rgb="FFC55A11"/>
      <name val="Calibri"/>
    </font>
    <font>
      <b/>
      <sz val="9"/>
      <color rgb="FF333333"/>
      <name val="Calibri"/>
    </font>
    <font>
      <b/>
      <sz val="8"/>
      <color rgb="FF1F4E79"/>
      <name val="Calibri"/>
    </font>
    <font>
      <sz val="9"/>
      <color rgb="FF000000"/>
      <name val="Calibri"/>
    </font>
    <font>
      <b/>
      <sz val="11"/>
      <color rgb="FF1F4E79"/>
      <name val="Calibri"/>
    </font>
    <font>
      <sz val="11"/>
      <color theme="0"/>
      <name val="Calibri"/>
      <family val="2"/>
      <scheme val="minor"/>
    </font>
    <font>
      <b/>
      <sz val="9"/>
      <color rgb="FF000000"/>
      <name val="Calibri"/>
      <family val="2"/>
    </font>
    <font>
      <b/>
      <sz val="10"/>
      <color rgb="FFFFFFFF"/>
      <name val="Calibri"/>
      <family val="2"/>
    </font>
    <font>
      <b/>
      <sz val="9"/>
      <color theme="0"/>
      <name val="Calibri"/>
      <family val="2"/>
    </font>
    <font>
      <b/>
      <sz val="10"/>
      <color theme="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F2F5F9"/>
        <bgColor rgb="FFF2F5F9"/>
      </patternFill>
    </fill>
    <fill>
      <patternFill patternType="solid">
        <fgColor rgb="FF1F4E79"/>
        <bgColor rgb="FF1F4E79"/>
      </patternFill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E8D8F8"/>
        <bgColor rgb="FFE8D8F8"/>
      </patternFill>
    </fill>
    <fill>
      <patternFill patternType="solid">
        <fgColor rgb="FF7030A0"/>
        <bgColor rgb="FF7030A0"/>
      </patternFill>
    </fill>
    <fill>
      <patternFill patternType="solid">
        <fgColor rgb="FFD0F0FD"/>
        <bgColor rgb="FFD0F0FD"/>
      </patternFill>
    </fill>
    <fill>
      <patternFill patternType="solid">
        <fgColor rgb="FF008080"/>
        <bgColor rgb="FF008080"/>
      </patternFill>
    </fill>
    <fill>
      <patternFill patternType="solid">
        <fgColor rgb="FFFCE4D6"/>
        <bgColor rgb="FFFCE4D6"/>
      </patternFill>
    </fill>
    <fill>
      <patternFill patternType="solid">
        <fgColor rgb="FFC55A11"/>
        <bgColor rgb="FFC55A11"/>
      </patternFill>
    </fill>
    <fill>
      <patternFill patternType="solid">
        <fgColor rgb="FFEDEDED"/>
        <bgColor rgb="FFEDEDED"/>
      </patternFill>
    </fill>
    <fill>
      <patternFill patternType="solid">
        <fgColor rgb="FF404040"/>
        <bgColor rgb="FF404040"/>
      </patternFill>
    </fill>
    <fill>
      <patternFill patternType="solid">
        <fgColor rgb="FF375623"/>
        <bgColor rgb="FF375623"/>
      </patternFill>
    </fill>
  </fills>
  <borders count="6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medium">
        <color rgb="FF1F4E79"/>
      </top>
      <bottom style="medium">
        <color rgb="FF1F4E79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double">
        <color rgb="FF1F4E79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indexed="64"/>
      </bottom>
      <diagonal/>
    </border>
    <border>
      <left style="thin">
        <color rgb="FFB0C4DE"/>
      </left>
      <right style="thin">
        <color rgb="FFB0C4DE"/>
      </right>
      <top/>
      <bottom style="thin">
        <color rgb="FFB0C4DE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9" fontId="10" fillId="6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8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4" fillId="10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64" fontId="10" fillId="6" borderId="3" xfId="0" applyNumberFormat="1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164" fontId="10" fillId="5" borderId="1" xfId="0" applyNumberFormat="1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3" fillId="0" borderId="0" xfId="0" applyFont="1" applyAlignment="1">
      <alignment horizontal="center" vertical="center" wrapText="1"/>
    </xf>
    <xf numFmtId="0" fontId="0" fillId="0" borderId="0" xfId="0"/>
    <xf numFmtId="0" fontId="6" fillId="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2" borderId="1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0" fillId="5" borderId="3" xfId="0" applyFill="1" applyBorder="1"/>
    <xf numFmtId="0" fontId="1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left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15" fillId="12" borderId="5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left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left" vertical="center" wrapText="1"/>
    </xf>
    <xf numFmtId="0" fontId="21" fillId="7" borderId="1" xfId="0" applyFont="1" applyFill="1" applyBorder="1" applyAlignment="1">
      <alignment horizontal="left" vertical="center" wrapText="1"/>
    </xf>
    <xf numFmtId="0" fontId="21" fillId="2" borderId="1" xfId="0" applyFont="1" applyFill="1" applyBorder="1" applyAlignment="1">
      <alignment horizontal="left" vertical="center" wrapText="1"/>
    </xf>
    <xf numFmtId="0" fontId="22" fillId="3" borderId="2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left"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23" fillId="7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9" fontId="23" fillId="6" borderId="1" xfId="0" applyNumberFormat="1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23" fillId="7" borderId="4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3" fillId="7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AK42"/>
  <sheetViews>
    <sheetView workbookViewId="0">
      <pane xSplit="12" ySplit="7" topLeftCell="M20" activePane="bottomRight" state="frozen"/>
      <selection pane="topRight"/>
      <selection pane="bottomLeft"/>
      <selection pane="bottomRight" activeCell="G11" sqref="G11"/>
    </sheetView>
  </sheetViews>
  <sheetFormatPr defaultRowHeight="14.4" x14ac:dyDescent="0.3"/>
  <cols>
    <col min="1" max="1" width="5.77734375" customWidth="1"/>
    <col min="2" max="2" width="8" customWidth="1"/>
    <col min="3" max="3" width="16" customWidth="1"/>
    <col min="4" max="4" width="36" customWidth="1"/>
    <col min="5" max="6" width="11" customWidth="1"/>
    <col min="7" max="7" width="9" customWidth="1"/>
    <col min="8" max="9" width="11" customWidth="1"/>
    <col min="10" max="10" width="8" customWidth="1"/>
    <col min="11" max="11" width="9" customWidth="1"/>
    <col min="12" max="12" width="13" customWidth="1"/>
    <col min="13" max="37" width="6.44140625" customWidth="1"/>
  </cols>
  <sheetData>
    <row r="1" spans="1:37" x14ac:dyDescent="0.3">
      <c r="A1" s="49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</row>
    <row r="2" spans="1:37" x14ac:dyDescent="0.3">
      <c r="A2" s="43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</row>
    <row r="3" spans="1:37" x14ac:dyDescent="0.3">
      <c r="A3" s="40" t="s">
        <v>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</row>
    <row r="4" spans="1:37" x14ac:dyDescent="0.3">
      <c r="A4" s="46" t="s">
        <v>3</v>
      </c>
      <c r="B4" s="45"/>
      <c r="C4" s="45"/>
      <c r="D4" s="45"/>
      <c r="E4" s="45"/>
      <c r="F4" s="46" t="s">
        <v>4</v>
      </c>
      <c r="G4" s="45"/>
      <c r="H4" s="45"/>
      <c r="I4" s="45"/>
      <c r="J4" s="45"/>
      <c r="K4" s="46" t="s">
        <v>5</v>
      </c>
      <c r="L4" s="45"/>
      <c r="M4" s="45"/>
      <c r="N4" s="45"/>
      <c r="O4" s="45"/>
      <c r="P4" s="45"/>
      <c r="Q4" s="45"/>
      <c r="R4" s="46" t="s">
        <v>6</v>
      </c>
      <c r="S4" s="45"/>
      <c r="T4" s="45"/>
      <c r="U4" s="45"/>
      <c r="V4" s="45"/>
      <c r="W4" s="45"/>
      <c r="X4" s="45"/>
      <c r="Y4" s="45"/>
      <c r="Z4" s="45"/>
      <c r="AA4" s="45"/>
      <c r="AB4" s="46" t="s">
        <v>7</v>
      </c>
      <c r="AC4" s="45"/>
      <c r="AD4" s="45"/>
      <c r="AE4" s="45"/>
      <c r="AF4" s="45"/>
      <c r="AG4" s="45"/>
      <c r="AH4" s="45"/>
      <c r="AI4" s="45"/>
      <c r="AJ4" s="45"/>
      <c r="AK4" s="45"/>
    </row>
    <row r="5" spans="1:37" x14ac:dyDescent="0.3">
      <c r="A5" s="44" t="s">
        <v>8</v>
      </c>
      <c r="B5" s="45"/>
      <c r="C5" s="45"/>
      <c r="D5" s="45"/>
      <c r="E5" s="45"/>
      <c r="F5" s="44" t="s">
        <v>9</v>
      </c>
      <c r="G5" s="45"/>
      <c r="H5" s="45"/>
      <c r="I5" s="45"/>
      <c r="J5" s="45"/>
      <c r="K5" s="44" t="s">
        <v>10</v>
      </c>
      <c r="L5" s="45"/>
      <c r="M5" s="45"/>
      <c r="N5" s="45"/>
      <c r="O5" s="45"/>
      <c r="P5" s="45"/>
      <c r="Q5" s="45"/>
      <c r="R5" s="44" t="s">
        <v>11</v>
      </c>
      <c r="S5" s="45"/>
      <c r="T5" s="45"/>
      <c r="U5" s="45"/>
      <c r="V5" s="45"/>
      <c r="W5" s="45"/>
      <c r="X5" s="45"/>
      <c r="Y5" s="45"/>
      <c r="Z5" s="45"/>
      <c r="AA5" s="45"/>
      <c r="AB5" s="44" t="s">
        <v>12</v>
      </c>
      <c r="AC5" s="45"/>
      <c r="AD5" s="45"/>
      <c r="AE5" s="45"/>
      <c r="AF5" s="45"/>
      <c r="AG5" s="45"/>
      <c r="AH5" s="45"/>
      <c r="AI5" s="45"/>
      <c r="AJ5" s="45"/>
      <c r="AK5" s="45"/>
    </row>
    <row r="6" spans="1:37" ht="19.95" customHeight="1" x14ac:dyDescent="0.3">
      <c r="A6" s="42" t="s">
        <v>13</v>
      </c>
      <c r="B6" s="42" t="s">
        <v>14</v>
      </c>
      <c r="C6" s="42" t="s">
        <v>15</v>
      </c>
      <c r="D6" s="42" t="s">
        <v>16</v>
      </c>
      <c r="E6" s="42" t="s">
        <v>17</v>
      </c>
      <c r="F6" s="42" t="s">
        <v>18</v>
      </c>
      <c r="G6" s="42" t="s">
        <v>19</v>
      </c>
      <c r="H6" s="42" t="s">
        <v>20</v>
      </c>
      <c r="I6" s="42" t="s">
        <v>21</v>
      </c>
      <c r="J6" s="42" t="s">
        <v>22</v>
      </c>
      <c r="K6" s="42" t="s">
        <v>23</v>
      </c>
      <c r="L6" s="42" t="s">
        <v>24</v>
      </c>
      <c r="M6" s="38" t="s">
        <v>25</v>
      </c>
      <c r="N6" s="39"/>
      <c r="O6" s="39"/>
      <c r="P6" s="39"/>
      <c r="Q6" s="39"/>
      <c r="R6" s="38" t="s">
        <v>26</v>
      </c>
      <c r="S6" s="39"/>
      <c r="T6" s="39"/>
      <c r="U6" s="39"/>
      <c r="V6" s="39"/>
      <c r="W6" s="38" t="s">
        <v>27</v>
      </c>
      <c r="X6" s="39"/>
      <c r="Y6" s="39"/>
      <c r="Z6" s="39"/>
      <c r="AA6" s="39"/>
      <c r="AB6" s="38" t="s">
        <v>28</v>
      </c>
      <c r="AC6" s="39"/>
      <c r="AD6" s="39"/>
      <c r="AE6" s="39"/>
      <c r="AF6" s="39"/>
      <c r="AG6" s="38" t="s">
        <v>29</v>
      </c>
      <c r="AH6" s="39"/>
      <c r="AI6" s="39"/>
      <c r="AJ6" s="39"/>
      <c r="AK6" s="39"/>
    </row>
    <row r="7" spans="1:37" ht="22.05" customHeight="1" x14ac:dyDescent="0.3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2" t="s">
        <v>30</v>
      </c>
      <c r="N7" s="2" t="s">
        <v>31</v>
      </c>
      <c r="O7" s="2" t="s">
        <v>32</v>
      </c>
      <c r="P7" s="2" t="s">
        <v>33</v>
      </c>
      <c r="Q7" s="2" t="s">
        <v>34</v>
      </c>
      <c r="R7" s="2" t="s">
        <v>35</v>
      </c>
      <c r="S7" s="2" t="s">
        <v>36</v>
      </c>
      <c r="T7" s="2" t="s">
        <v>37</v>
      </c>
      <c r="U7" s="2" t="s">
        <v>38</v>
      </c>
      <c r="V7" s="2" t="s">
        <v>39</v>
      </c>
      <c r="W7" s="2" t="s">
        <v>40</v>
      </c>
      <c r="X7" s="2" t="s">
        <v>41</v>
      </c>
      <c r="Y7" s="2" t="s">
        <v>42</v>
      </c>
      <c r="Z7" s="2" t="s">
        <v>43</v>
      </c>
      <c r="AA7" s="2" t="s">
        <v>44</v>
      </c>
      <c r="AB7" s="2" t="s">
        <v>45</v>
      </c>
      <c r="AC7" s="2" t="s">
        <v>46</v>
      </c>
      <c r="AD7" s="2" t="s">
        <v>47</v>
      </c>
      <c r="AE7" s="2" t="s">
        <v>48</v>
      </c>
      <c r="AF7" s="2" t="s">
        <v>49</v>
      </c>
      <c r="AG7" s="2" t="s">
        <v>50</v>
      </c>
      <c r="AH7" s="2" t="s">
        <v>51</v>
      </c>
      <c r="AI7" s="2" t="s">
        <v>52</v>
      </c>
      <c r="AJ7" s="2" t="s">
        <v>53</v>
      </c>
      <c r="AK7" s="2" t="s">
        <v>54</v>
      </c>
    </row>
    <row r="8" spans="1:37" ht="36.6" customHeight="1" x14ac:dyDescent="0.3">
      <c r="A8" s="3" t="s">
        <v>55</v>
      </c>
      <c r="B8" s="4" t="s">
        <v>56</v>
      </c>
      <c r="C8" s="5" t="s">
        <v>57</v>
      </c>
      <c r="D8" s="5" t="s">
        <v>58</v>
      </c>
      <c r="E8" s="6" t="s">
        <v>59</v>
      </c>
      <c r="F8" s="4" t="s">
        <v>60</v>
      </c>
      <c r="G8" s="4" t="s">
        <v>61</v>
      </c>
      <c r="H8" s="4" t="s">
        <v>62</v>
      </c>
      <c r="I8" s="4" t="s">
        <v>63</v>
      </c>
      <c r="J8" s="4">
        <v>2</v>
      </c>
      <c r="K8" s="7">
        <v>0</v>
      </c>
      <c r="L8" s="73" t="s">
        <v>64</v>
      </c>
      <c r="M8" s="8" t="s">
        <v>59</v>
      </c>
      <c r="N8" s="9" t="s">
        <v>65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ht="36.6" customHeight="1" x14ac:dyDescent="0.3">
      <c r="A9" s="11" t="s">
        <v>66</v>
      </c>
      <c r="B9" s="12" t="s">
        <v>56</v>
      </c>
      <c r="C9" s="13" t="s">
        <v>57</v>
      </c>
      <c r="D9" s="13" t="s">
        <v>67</v>
      </c>
      <c r="E9" s="14" t="s">
        <v>68</v>
      </c>
      <c r="F9" s="12" t="s">
        <v>69</v>
      </c>
      <c r="G9" s="12" t="s">
        <v>55</v>
      </c>
      <c r="H9" s="12" t="s">
        <v>62</v>
      </c>
      <c r="I9" s="12" t="s">
        <v>70</v>
      </c>
      <c r="J9" s="12">
        <v>3</v>
      </c>
      <c r="K9" s="7">
        <v>0</v>
      </c>
      <c r="L9" s="74" t="s">
        <v>64</v>
      </c>
      <c r="M9" s="15" t="s">
        <v>68</v>
      </c>
      <c r="N9" s="16" t="s">
        <v>65</v>
      </c>
      <c r="O9" s="16" t="s">
        <v>65</v>
      </c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</row>
    <row r="10" spans="1:37" ht="36.6" customHeight="1" x14ac:dyDescent="0.3">
      <c r="A10" s="3" t="s">
        <v>71</v>
      </c>
      <c r="B10" s="4" t="s">
        <v>56</v>
      </c>
      <c r="C10" s="5" t="s">
        <v>57</v>
      </c>
      <c r="D10" s="5" t="s">
        <v>72</v>
      </c>
      <c r="E10" s="18" t="s">
        <v>69</v>
      </c>
      <c r="F10" s="4" t="s">
        <v>73</v>
      </c>
      <c r="G10" s="4" t="s">
        <v>74</v>
      </c>
      <c r="H10" s="4" t="s">
        <v>63</v>
      </c>
      <c r="I10" s="4" t="s">
        <v>75</v>
      </c>
      <c r="J10" s="4">
        <v>3</v>
      </c>
      <c r="K10" s="7">
        <v>0</v>
      </c>
      <c r="L10" s="73" t="s">
        <v>64</v>
      </c>
      <c r="M10" s="10"/>
      <c r="N10" s="19" t="s">
        <v>69</v>
      </c>
      <c r="O10" s="20" t="s">
        <v>65</v>
      </c>
      <c r="P10" s="20" t="s">
        <v>65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spans="1:37" ht="36.6" customHeight="1" x14ac:dyDescent="0.3">
      <c r="A11" s="11" t="s">
        <v>76</v>
      </c>
      <c r="B11" s="12" t="s">
        <v>56</v>
      </c>
      <c r="C11" s="13" t="s">
        <v>57</v>
      </c>
      <c r="D11" s="13" t="s">
        <v>77</v>
      </c>
      <c r="E11" s="21" t="s">
        <v>73</v>
      </c>
      <c r="F11" s="12" t="s">
        <v>78</v>
      </c>
      <c r="G11" s="12" t="s">
        <v>76</v>
      </c>
      <c r="H11" s="12" t="s">
        <v>63</v>
      </c>
      <c r="I11" s="12" t="s">
        <v>75</v>
      </c>
      <c r="J11" s="12">
        <v>3</v>
      </c>
      <c r="K11" s="7">
        <v>0</v>
      </c>
      <c r="L11" s="74" t="s">
        <v>64</v>
      </c>
      <c r="M11" s="17"/>
      <c r="N11" s="22" t="s">
        <v>73</v>
      </c>
      <c r="O11" s="23" t="s">
        <v>65</v>
      </c>
      <c r="P11" s="23" t="s">
        <v>65</v>
      </c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</row>
    <row r="12" spans="1:37" ht="36.6" customHeight="1" x14ac:dyDescent="0.3">
      <c r="A12" s="3" t="s">
        <v>79</v>
      </c>
      <c r="B12" s="4" t="s">
        <v>56</v>
      </c>
      <c r="C12" s="5" t="s">
        <v>57</v>
      </c>
      <c r="D12" s="5" t="s">
        <v>80</v>
      </c>
      <c r="E12" s="6" t="s">
        <v>59</v>
      </c>
      <c r="F12" s="4" t="s">
        <v>60</v>
      </c>
      <c r="G12" s="4" t="s">
        <v>81</v>
      </c>
      <c r="H12" s="4" t="s">
        <v>63</v>
      </c>
      <c r="I12" s="4" t="s">
        <v>82</v>
      </c>
      <c r="J12" s="4">
        <v>4</v>
      </c>
      <c r="K12" s="7">
        <v>0</v>
      </c>
      <c r="L12" s="73" t="s">
        <v>64</v>
      </c>
      <c r="M12" s="10"/>
      <c r="N12" s="8" t="s">
        <v>59</v>
      </c>
      <c r="O12" s="9" t="s">
        <v>65</v>
      </c>
      <c r="P12" s="9" t="s">
        <v>65</v>
      </c>
      <c r="Q12" s="9" t="s">
        <v>65</v>
      </c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spans="1:37" ht="36.6" customHeight="1" x14ac:dyDescent="0.3">
      <c r="A13" s="11" t="s">
        <v>83</v>
      </c>
      <c r="B13" s="12" t="s">
        <v>56</v>
      </c>
      <c r="C13" s="13" t="s">
        <v>57</v>
      </c>
      <c r="D13" s="13" t="s">
        <v>84</v>
      </c>
      <c r="E13" s="24" t="s">
        <v>60</v>
      </c>
      <c r="F13" s="12" t="s">
        <v>59</v>
      </c>
      <c r="G13" s="12" t="s">
        <v>85</v>
      </c>
      <c r="H13" s="12" t="s">
        <v>82</v>
      </c>
      <c r="I13" s="12" t="s">
        <v>82</v>
      </c>
      <c r="J13" s="12">
        <v>1</v>
      </c>
      <c r="K13" s="7">
        <v>0</v>
      </c>
      <c r="L13" s="74" t="s">
        <v>64</v>
      </c>
      <c r="M13" s="17"/>
      <c r="N13" s="17"/>
      <c r="O13" s="17"/>
      <c r="P13" s="17"/>
      <c r="Q13" s="25" t="s">
        <v>60</v>
      </c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ht="36.6" customHeight="1" x14ac:dyDescent="0.3">
      <c r="A14" s="3" t="s">
        <v>86</v>
      </c>
      <c r="B14" s="4" t="s">
        <v>87</v>
      </c>
      <c r="C14" s="5" t="s">
        <v>88</v>
      </c>
      <c r="D14" s="5" t="s">
        <v>89</v>
      </c>
      <c r="E14" s="14" t="s">
        <v>68</v>
      </c>
      <c r="F14" s="4" t="s">
        <v>59</v>
      </c>
      <c r="G14" s="4" t="s">
        <v>86</v>
      </c>
      <c r="H14" s="4" t="s">
        <v>90</v>
      </c>
      <c r="I14" s="4" t="s">
        <v>91</v>
      </c>
      <c r="J14" s="4">
        <v>2</v>
      </c>
      <c r="K14" s="7">
        <v>0</v>
      </c>
      <c r="L14" s="73" t="s">
        <v>64</v>
      </c>
      <c r="M14" s="10"/>
      <c r="N14" s="10"/>
      <c r="O14" s="10"/>
      <c r="P14" s="10"/>
      <c r="Q14" s="10"/>
      <c r="R14" s="15" t="s">
        <v>68</v>
      </c>
      <c r="S14" s="16" t="s">
        <v>65</v>
      </c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spans="1:37" ht="36.6" customHeight="1" x14ac:dyDescent="0.3">
      <c r="A15" s="11" t="s">
        <v>92</v>
      </c>
      <c r="B15" s="12" t="s">
        <v>87</v>
      </c>
      <c r="C15" s="13" t="s">
        <v>88</v>
      </c>
      <c r="D15" s="13" t="s">
        <v>93</v>
      </c>
      <c r="E15" s="14" t="s">
        <v>68</v>
      </c>
      <c r="F15" s="12" t="s">
        <v>78</v>
      </c>
      <c r="G15" s="12" t="s">
        <v>94</v>
      </c>
      <c r="H15" s="12" t="s">
        <v>90</v>
      </c>
      <c r="I15" s="12" t="s">
        <v>95</v>
      </c>
      <c r="J15" s="12">
        <v>4</v>
      </c>
      <c r="K15" s="7">
        <v>0</v>
      </c>
      <c r="L15" s="74" t="s">
        <v>64</v>
      </c>
      <c r="M15" s="17"/>
      <c r="N15" s="17"/>
      <c r="O15" s="17"/>
      <c r="P15" s="17"/>
      <c r="Q15" s="17"/>
      <c r="R15" s="15" t="s">
        <v>68</v>
      </c>
      <c r="S15" s="16" t="s">
        <v>65</v>
      </c>
      <c r="T15" s="16" t="s">
        <v>65</v>
      </c>
      <c r="U15" s="16" t="s">
        <v>65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ht="36.6" customHeight="1" x14ac:dyDescent="0.3">
      <c r="A16" s="3" t="s">
        <v>96</v>
      </c>
      <c r="B16" s="4" t="s">
        <v>87</v>
      </c>
      <c r="C16" s="5" t="s">
        <v>88</v>
      </c>
      <c r="D16" s="5" t="s">
        <v>97</v>
      </c>
      <c r="E16" s="18" t="s">
        <v>69</v>
      </c>
      <c r="F16" s="4" t="s">
        <v>68</v>
      </c>
      <c r="G16" s="4" t="s">
        <v>98</v>
      </c>
      <c r="H16" s="4" t="s">
        <v>90</v>
      </c>
      <c r="I16" s="4" t="s">
        <v>95</v>
      </c>
      <c r="J16" s="4">
        <v>4</v>
      </c>
      <c r="K16" s="7">
        <v>0</v>
      </c>
      <c r="L16" s="73" t="s">
        <v>64</v>
      </c>
      <c r="M16" s="10"/>
      <c r="N16" s="10"/>
      <c r="O16" s="10"/>
      <c r="P16" s="10"/>
      <c r="Q16" s="10"/>
      <c r="R16" s="19" t="s">
        <v>69</v>
      </c>
      <c r="S16" s="20" t="s">
        <v>65</v>
      </c>
      <c r="T16" s="20" t="s">
        <v>65</v>
      </c>
      <c r="U16" s="20" t="s">
        <v>65</v>
      </c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spans="1:37" ht="36.6" customHeight="1" x14ac:dyDescent="0.3">
      <c r="A17" s="11" t="s">
        <v>99</v>
      </c>
      <c r="B17" s="12" t="s">
        <v>87</v>
      </c>
      <c r="C17" s="13" t="s">
        <v>88</v>
      </c>
      <c r="D17" s="13" t="s">
        <v>100</v>
      </c>
      <c r="E17" s="21" t="s">
        <v>73</v>
      </c>
      <c r="F17" s="12" t="s">
        <v>59</v>
      </c>
      <c r="G17" s="12" t="s">
        <v>101</v>
      </c>
      <c r="H17" s="12" t="s">
        <v>90</v>
      </c>
      <c r="I17" s="12" t="s">
        <v>102</v>
      </c>
      <c r="J17" s="12">
        <v>3</v>
      </c>
      <c r="K17" s="7">
        <v>0</v>
      </c>
      <c r="L17" s="74" t="s">
        <v>64</v>
      </c>
      <c r="M17" s="17"/>
      <c r="N17" s="17"/>
      <c r="O17" s="17"/>
      <c r="P17" s="17"/>
      <c r="Q17" s="17"/>
      <c r="R17" s="22" t="s">
        <v>73</v>
      </c>
      <c r="S17" s="23" t="s">
        <v>65</v>
      </c>
      <c r="T17" s="23" t="s">
        <v>65</v>
      </c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ht="36.6" customHeight="1" x14ac:dyDescent="0.3">
      <c r="A18" s="3" t="s">
        <v>103</v>
      </c>
      <c r="B18" s="4" t="s">
        <v>87</v>
      </c>
      <c r="C18" s="5" t="s">
        <v>88</v>
      </c>
      <c r="D18" s="5" t="s">
        <v>104</v>
      </c>
      <c r="E18" s="21" t="s">
        <v>73</v>
      </c>
      <c r="F18" s="4" t="s">
        <v>78</v>
      </c>
      <c r="G18" s="4" t="s">
        <v>96</v>
      </c>
      <c r="H18" s="4" t="s">
        <v>102</v>
      </c>
      <c r="I18" s="4" t="s">
        <v>105</v>
      </c>
      <c r="J18" s="4">
        <v>3</v>
      </c>
      <c r="K18" s="7">
        <v>0</v>
      </c>
      <c r="L18" s="73" t="s">
        <v>64</v>
      </c>
      <c r="M18" s="10"/>
      <c r="N18" s="10"/>
      <c r="O18" s="10"/>
      <c r="P18" s="10"/>
      <c r="Q18" s="10"/>
      <c r="R18" s="10"/>
      <c r="S18" s="10"/>
      <c r="T18" s="22" t="s">
        <v>73</v>
      </c>
      <c r="U18" s="23" t="s">
        <v>65</v>
      </c>
      <c r="V18" s="23" t="s">
        <v>65</v>
      </c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spans="1:37" ht="36.6" customHeight="1" x14ac:dyDescent="0.3">
      <c r="A19" s="11" t="s">
        <v>106</v>
      </c>
      <c r="B19" s="12" t="s">
        <v>87</v>
      </c>
      <c r="C19" s="13" t="s">
        <v>88</v>
      </c>
      <c r="D19" s="13" t="s">
        <v>107</v>
      </c>
      <c r="E19" s="26" t="s">
        <v>78</v>
      </c>
      <c r="F19" s="12" t="s">
        <v>73</v>
      </c>
      <c r="G19" s="12" t="s">
        <v>108</v>
      </c>
      <c r="H19" s="12" t="s">
        <v>90</v>
      </c>
      <c r="I19" s="12" t="s">
        <v>95</v>
      </c>
      <c r="J19" s="12">
        <v>4</v>
      </c>
      <c r="K19" s="7">
        <v>0</v>
      </c>
      <c r="L19" s="74" t="s">
        <v>64</v>
      </c>
      <c r="M19" s="17"/>
      <c r="N19" s="17"/>
      <c r="O19" s="17"/>
      <c r="P19" s="17"/>
      <c r="Q19" s="17"/>
      <c r="R19" s="27" t="s">
        <v>78</v>
      </c>
      <c r="S19" s="28" t="s">
        <v>65</v>
      </c>
      <c r="T19" s="28" t="s">
        <v>65</v>
      </c>
      <c r="U19" s="28" t="s">
        <v>65</v>
      </c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ht="36.6" customHeight="1" x14ac:dyDescent="0.3">
      <c r="A20" s="56" t="s">
        <v>109</v>
      </c>
      <c r="B20" s="57" t="s">
        <v>87</v>
      </c>
      <c r="C20" s="58" t="s">
        <v>88</v>
      </c>
      <c r="D20" s="58" t="s">
        <v>110</v>
      </c>
      <c r="E20" s="59" t="s">
        <v>59</v>
      </c>
      <c r="F20" s="57" t="s">
        <v>60</v>
      </c>
      <c r="G20" s="57" t="s">
        <v>111</v>
      </c>
      <c r="H20" s="57" t="s">
        <v>95</v>
      </c>
      <c r="I20" s="57" t="s">
        <v>105</v>
      </c>
      <c r="J20" s="57">
        <v>2</v>
      </c>
      <c r="K20" s="7">
        <v>0</v>
      </c>
      <c r="L20" s="77" t="s">
        <v>64</v>
      </c>
      <c r="M20" s="10"/>
      <c r="N20" s="10"/>
      <c r="O20" s="10"/>
      <c r="P20" s="10"/>
      <c r="Q20" s="10"/>
      <c r="R20" s="10"/>
      <c r="S20" s="10"/>
      <c r="T20" s="10"/>
      <c r="U20" s="8" t="s">
        <v>59</v>
      </c>
      <c r="V20" s="9" t="s">
        <v>65</v>
      </c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spans="1:37" ht="36.6" customHeight="1" x14ac:dyDescent="0.3">
      <c r="A21" s="52" t="s">
        <v>112</v>
      </c>
      <c r="B21" s="53" t="s">
        <v>113</v>
      </c>
      <c r="C21" s="54" t="s">
        <v>114</v>
      </c>
      <c r="D21" s="54" t="s">
        <v>115</v>
      </c>
      <c r="E21" s="55" t="s">
        <v>78</v>
      </c>
      <c r="F21" s="53" t="s">
        <v>59</v>
      </c>
      <c r="G21" s="53" t="s">
        <v>116</v>
      </c>
      <c r="H21" s="53" t="s">
        <v>117</v>
      </c>
      <c r="I21" s="53" t="s">
        <v>118</v>
      </c>
      <c r="J21" s="53">
        <v>3</v>
      </c>
      <c r="K21" s="7">
        <v>0</v>
      </c>
      <c r="L21" s="78" t="s">
        <v>64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27" t="s">
        <v>78</v>
      </c>
      <c r="X21" s="28" t="s">
        <v>65</v>
      </c>
      <c r="Y21" s="28" t="s">
        <v>65</v>
      </c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ht="36.6" customHeight="1" x14ac:dyDescent="0.3">
      <c r="A22" s="3" t="s">
        <v>119</v>
      </c>
      <c r="B22" s="4" t="s">
        <v>113</v>
      </c>
      <c r="C22" s="5" t="s">
        <v>114</v>
      </c>
      <c r="D22" s="5" t="s">
        <v>120</v>
      </c>
      <c r="E22" s="26" t="s">
        <v>78</v>
      </c>
      <c r="F22" s="4" t="s">
        <v>68</v>
      </c>
      <c r="G22" s="4" t="s">
        <v>121</v>
      </c>
      <c r="H22" s="4" t="s">
        <v>122</v>
      </c>
      <c r="I22" s="4" t="s">
        <v>123</v>
      </c>
      <c r="J22" s="4">
        <v>4</v>
      </c>
      <c r="K22" s="7">
        <v>0</v>
      </c>
      <c r="L22" s="73" t="s">
        <v>64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27" t="s">
        <v>78</v>
      </c>
      <c r="Y22" s="28" t="s">
        <v>65</v>
      </c>
      <c r="Z22" s="28" t="s">
        <v>65</v>
      </c>
      <c r="AA22" s="28" t="s">
        <v>65</v>
      </c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1:37" ht="36.6" customHeight="1" x14ac:dyDescent="0.3">
      <c r="A23" s="11" t="s">
        <v>124</v>
      </c>
      <c r="B23" s="12" t="s">
        <v>113</v>
      </c>
      <c r="C23" s="13" t="s">
        <v>114</v>
      </c>
      <c r="D23" s="13" t="s">
        <v>125</v>
      </c>
      <c r="E23" s="14" t="s">
        <v>68</v>
      </c>
      <c r="F23" s="12" t="s">
        <v>59</v>
      </c>
      <c r="G23" s="12" t="s">
        <v>126</v>
      </c>
      <c r="H23" s="12" t="s">
        <v>117</v>
      </c>
      <c r="I23" s="12" t="s">
        <v>127</v>
      </c>
      <c r="J23" s="12">
        <v>4</v>
      </c>
      <c r="K23" s="7">
        <v>0</v>
      </c>
      <c r="L23" s="74" t="s">
        <v>64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5" t="s">
        <v>68</v>
      </c>
      <c r="X23" s="16" t="s">
        <v>65</v>
      </c>
      <c r="Y23" s="16" t="s">
        <v>65</v>
      </c>
      <c r="Z23" s="16" t="s">
        <v>65</v>
      </c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ht="36.6" customHeight="1" x14ac:dyDescent="0.3">
      <c r="A24" s="3" t="s">
        <v>121</v>
      </c>
      <c r="B24" s="4" t="s">
        <v>113</v>
      </c>
      <c r="C24" s="5" t="s">
        <v>114</v>
      </c>
      <c r="D24" s="5" t="s">
        <v>128</v>
      </c>
      <c r="E24" s="18" t="s">
        <v>69</v>
      </c>
      <c r="F24" s="4" t="s">
        <v>68</v>
      </c>
      <c r="G24" s="4" t="s">
        <v>129</v>
      </c>
      <c r="H24" s="4" t="s">
        <v>117</v>
      </c>
      <c r="I24" s="4" t="s">
        <v>127</v>
      </c>
      <c r="J24" s="4">
        <v>4</v>
      </c>
      <c r="K24" s="7">
        <v>0</v>
      </c>
      <c r="L24" s="73" t="s">
        <v>64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9" t="s">
        <v>69</v>
      </c>
      <c r="X24" s="20" t="s">
        <v>65</v>
      </c>
      <c r="Y24" s="20" t="s">
        <v>65</v>
      </c>
      <c r="Z24" s="20" t="s">
        <v>65</v>
      </c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spans="1:37" ht="36.6" customHeight="1" x14ac:dyDescent="0.3">
      <c r="A25" s="11" t="s">
        <v>130</v>
      </c>
      <c r="B25" s="12" t="s">
        <v>113</v>
      </c>
      <c r="C25" s="13" t="s">
        <v>114</v>
      </c>
      <c r="D25" s="13" t="s">
        <v>131</v>
      </c>
      <c r="E25" s="21" t="s">
        <v>73</v>
      </c>
      <c r="F25" s="12" t="s">
        <v>69</v>
      </c>
      <c r="G25" s="12" t="s">
        <v>129</v>
      </c>
      <c r="H25" s="12" t="s">
        <v>117</v>
      </c>
      <c r="I25" s="12" t="s">
        <v>127</v>
      </c>
      <c r="J25" s="12">
        <v>4</v>
      </c>
      <c r="K25" s="7">
        <v>0</v>
      </c>
      <c r="L25" s="74" t="s">
        <v>64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22" t="s">
        <v>73</v>
      </c>
      <c r="X25" s="23" t="s">
        <v>65</v>
      </c>
      <c r="Y25" s="23" t="s">
        <v>65</v>
      </c>
      <c r="Z25" s="23" t="s">
        <v>65</v>
      </c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ht="36.6" customHeight="1" x14ac:dyDescent="0.3">
      <c r="A26" s="56" t="s">
        <v>132</v>
      </c>
      <c r="B26" s="57" t="s">
        <v>113</v>
      </c>
      <c r="C26" s="58" t="s">
        <v>114</v>
      </c>
      <c r="D26" s="58" t="s">
        <v>133</v>
      </c>
      <c r="E26" s="59" t="s">
        <v>59</v>
      </c>
      <c r="F26" s="57" t="s">
        <v>60</v>
      </c>
      <c r="G26" s="57" t="s">
        <v>134</v>
      </c>
      <c r="H26" s="57" t="s">
        <v>127</v>
      </c>
      <c r="I26" s="57" t="s">
        <v>123</v>
      </c>
      <c r="J26" s="57">
        <v>2</v>
      </c>
      <c r="K26" s="7">
        <v>0</v>
      </c>
      <c r="L26" s="77" t="s">
        <v>64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8" t="s">
        <v>59</v>
      </c>
      <c r="AA26" s="9" t="s">
        <v>65</v>
      </c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7" ht="36.6" customHeight="1" x14ac:dyDescent="0.3">
      <c r="A27" s="52" t="s">
        <v>135</v>
      </c>
      <c r="B27" s="53" t="s">
        <v>136</v>
      </c>
      <c r="C27" s="54" t="s">
        <v>137</v>
      </c>
      <c r="D27" s="54" t="s">
        <v>138</v>
      </c>
      <c r="E27" s="60" t="s">
        <v>73</v>
      </c>
      <c r="F27" s="53" t="s">
        <v>78</v>
      </c>
      <c r="G27" s="53" t="s">
        <v>108</v>
      </c>
      <c r="H27" s="53" t="s">
        <v>139</v>
      </c>
      <c r="I27" s="53" t="s">
        <v>140</v>
      </c>
      <c r="J27" s="53">
        <v>3</v>
      </c>
      <c r="K27" s="7">
        <v>0</v>
      </c>
      <c r="L27" s="78" t="s">
        <v>64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22" t="s">
        <v>73</v>
      </c>
      <c r="AC27" s="23" t="s">
        <v>65</v>
      </c>
      <c r="AD27" s="23" t="s">
        <v>65</v>
      </c>
      <c r="AE27" s="17"/>
      <c r="AF27" s="17"/>
      <c r="AG27" s="17"/>
      <c r="AH27" s="17"/>
      <c r="AI27" s="17"/>
      <c r="AJ27" s="17"/>
      <c r="AK27" s="17"/>
    </row>
    <row r="28" spans="1:37" ht="36.6" customHeight="1" x14ac:dyDescent="0.3">
      <c r="A28" s="3" t="s">
        <v>108</v>
      </c>
      <c r="B28" s="4" t="s">
        <v>136</v>
      </c>
      <c r="C28" s="5" t="s">
        <v>137</v>
      </c>
      <c r="D28" s="5" t="s">
        <v>141</v>
      </c>
      <c r="E28" s="26" t="s">
        <v>78</v>
      </c>
      <c r="F28" s="4" t="s">
        <v>73</v>
      </c>
      <c r="G28" s="4" t="s">
        <v>142</v>
      </c>
      <c r="H28" s="4" t="s">
        <v>139</v>
      </c>
      <c r="I28" s="4" t="s">
        <v>140</v>
      </c>
      <c r="J28" s="4">
        <v>3</v>
      </c>
      <c r="K28" s="7">
        <v>0</v>
      </c>
      <c r="L28" s="73" t="s">
        <v>64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27" t="s">
        <v>78</v>
      </c>
      <c r="AC28" s="28" t="s">
        <v>65</v>
      </c>
      <c r="AD28" s="28" t="s">
        <v>65</v>
      </c>
      <c r="AE28" s="10"/>
      <c r="AF28" s="10"/>
      <c r="AG28" s="10"/>
      <c r="AH28" s="10"/>
      <c r="AI28" s="10"/>
      <c r="AJ28" s="10"/>
      <c r="AK28" s="10"/>
    </row>
    <row r="29" spans="1:37" ht="36.6" customHeight="1" x14ac:dyDescent="0.3">
      <c r="A29" s="11" t="s">
        <v>143</v>
      </c>
      <c r="B29" s="12" t="s">
        <v>136</v>
      </c>
      <c r="C29" s="13" t="s">
        <v>137</v>
      </c>
      <c r="D29" s="13" t="s">
        <v>144</v>
      </c>
      <c r="E29" s="14" t="s">
        <v>68</v>
      </c>
      <c r="F29" s="12" t="s">
        <v>59</v>
      </c>
      <c r="G29" s="12" t="s">
        <v>145</v>
      </c>
      <c r="H29" s="12" t="s">
        <v>139</v>
      </c>
      <c r="I29" s="12" t="s">
        <v>140</v>
      </c>
      <c r="J29" s="12">
        <v>3</v>
      </c>
      <c r="K29" s="7">
        <v>0</v>
      </c>
      <c r="L29" s="74" t="s">
        <v>64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5" t="s">
        <v>68</v>
      </c>
      <c r="AC29" s="16" t="s">
        <v>65</v>
      </c>
      <c r="AD29" s="16" t="s">
        <v>65</v>
      </c>
      <c r="AE29" s="17"/>
      <c r="AF29" s="17"/>
      <c r="AG29" s="17"/>
      <c r="AH29" s="17"/>
      <c r="AI29" s="17"/>
      <c r="AJ29" s="17"/>
      <c r="AK29" s="17"/>
    </row>
    <row r="30" spans="1:37" ht="36.6" customHeight="1" x14ac:dyDescent="0.3">
      <c r="A30" s="3" t="s">
        <v>146</v>
      </c>
      <c r="B30" s="4" t="s">
        <v>136</v>
      </c>
      <c r="C30" s="5" t="s">
        <v>137</v>
      </c>
      <c r="D30" s="5" t="s">
        <v>147</v>
      </c>
      <c r="E30" s="18" t="s">
        <v>69</v>
      </c>
      <c r="F30" s="4" t="s">
        <v>59</v>
      </c>
      <c r="G30" s="4" t="s">
        <v>145</v>
      </c>
      <c r="H30" s="4" t="s">
        <v>139</v>
      </c>
      <c r="I30" s="4" t="s">
        <v>140</v>
      </c>
      <c r="J30" s="4">
        <v>3</v>
      </c>
      <c r="K30" s="7">
        <v>0</v>
      </c>
      <c r="L30" s="73" t="s">
        <v>64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9" t="s">
        <v>69</v>
      </c>
      <c r="AC30" s="20" t="s">
        <v>65</v>
      </c>
      <c r="AD30" s="20" t="s">
        <v>65</v>
      </c>
      <c r="AE30" s="10"/>
      <c r="AF30" s="10"/>
      <c r="AG30" s="10"/>
      <c r="AH30" s="10"/>
      <c r="AI30" s="10"/>
      <c r="AJ30" s="10"/>
      <c r="AK30" s="10"/>
    </row>
    <row r="31" spans="1:37" ht="36.6" customHeight="1" x14ac:dyDescent="0.3">
      <c r="A31" s="11" t="s">
        <v>145</v>
      </c>
      <c r="B31" s="12" t="s">
        <v>136</v>
      </c>
      <c r="C31" s="13" t="s">
        <v>137</v>
      </c>
      <c r="D31" s="13" t="s">
        <v>148</v>
      </c>
      <c r="E31" s="21" t="s">
        <v>73</v>
      </c>
      <c r="F31" s="12" t="s">
        <v>59</v>
      </c>
      <c r="G31" s="12" t="s">
        <v>145</v>
      </c>
      <c r="H31" s="12" t="s">
        <v>149</v>
      </c>
      <c r="I31" s="12" t="s">
        <v>150</v>
      </c>
      <c r="J31" s="12">
        <v>3</v>
      </c>
      <c r="K31" s="7">
        <v>0</v>
      </c>
      <c r="L31" s="74" t="s">
        <v>64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22" t="s">
        <v>73</v>
      </c>
      <c r="AD31" s="23" t="s">
        <v>65</v>
      </c>
      <c r="AE31" s="23" t="s">
        <v>65</v>
      </c>
      <c r="AF31" s="17"/>
      <c r="AG31" s="17"/>
      <c r="AH31" s="17"/>
      <c r="AI31" s="17"/>
      <c r="AJ31" s="17"/>
      <c r="AK31" s="17"/>
    </row>
    <row r="32" spans="1:37" ht="36.6" customHeight="1" x14ac:dyDescent="0.3">
      <c r="A32" s="3" t="s">
        <v>151</v>
      </c>
      <c r="B32" s="4" t="s">
        <v>136</v>
      </c>
      <c r="C32" s="5" t="s">
        <v>137</v>
      </c>
      <c r="D32" s="5" t="s">
        <v>152</v>
      </c>
      <c r="E32" s="26" t="s">
        <v>78</v>
      </c>
      <c r="F32" s="4" t="s">
        <v>60</v>
      </c>
      <c r="G32" s="4" t="s">
        <v>153</v>
      </c>
      <c r="H32" s="4" t="s">
        <v>140</v>
      </c>
      <c r="I32" s="4" t="s">
        <v>154</v>
      </c>
      <c r="J32" s="4">
        <v>3</v>
      </c>
      <c r="K32" s="7">
        <v>0</v>
      </c>
      <c r="L32" s="73" t="s">
        <v>64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27" t="s">
        <v>78</v>
      </c>
      <c r="AE32" s="28" t="s">
        <v>65</v>
      </c>
      <c r="AF32" s="28" t="s">
        <v>65</v>
      </c>
      <c r="AG32" s="10"/>
      <c r="AH32" s="10"/>
      <c r="AI32" s="10"/>
      <c r="AJ32" s="10"/>
      <c r="AK32" s="10"/>
    </row>
    <row r="33" spans="1:37" ht="36.6" customHeight="1" x14ac:dyDescent="0.3">
      <c r="A33" s="65" t="s">
        <v>155</v>
      </c>
      <c r="B33" s="66" t="s">
        <v>136</v>
      </c>
      <c r="C33" s="67" t="s">
        <v>137</v>
      </c>
      <c r="D33" s="67" t="s">
        <v>156</v>
      </c>
      <c r="E33" s="59" t="s">
        <v>59</v>
      </c>
      <c r="F33" s="66" t="s">
        <v>69</v>
      </c>
      <c r="G33" s="66" t="s">
        <v>157</v>
      </c>
      <c r="H33" s="66" t="s">
        <v>150</v>
      </c>
      <c r="I33" s="66" t="s">
        <v>154</v>
      </c>
      <c r="J33" s="66">
        <v>2</v>
      </c>
      <c r="K33" s="7">
        <v>0</v>
      </c>
      <c r="L33" s="79" t="s">
        <v>64</v>
      </c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8" t="s">
        <v>59</v>
      </c>
      <c r="AF33" s="9" t="s">
        <v>65</v>
      </c>
      <c r="AG33" s="17"/>
      <c r="AH33" s="17"/>
      <c r="AI33" s="17"/>
      <c r="AJ33" s="17"/>
      <c r="AK33" s="17"/>
    </row>
    <row r="34" spans="1:37" ht="36.6" customHeight="1" x14ac:dyDescent="0.3">
      <c r="A34" s="61" t="s">
        <v>158</v>
      </c>
      <c r="B34" s="62" t="s">
        <v>159</v>
      </c>
      <c r="C34" s="63" t="s">
        <v>160</v>
      </c>
      <c r="D34" s="63" t="s">
        <v>161</v>
      </c>
      <c r="E34" s="64" t="s">
        <v>68</v>
      </c>
      <c r="F34" s="62" t="s">
        <v>162</v>
      </c>
      <c r="G34" s="62" t="s">
        <v>145</v>
      </c>
      <c r="H34" s="62" t="s">
        <v>163</v>
      </c>
      <c r="I34" s="62" t="s">
        <v>164</v>
      </c>
      <c r="J34" s="62">
        <v>2</v>
      </c>
      <c r="K34" s="7">
        <v>0</v>
      </c>
      <c r="L34" s="80" t="s">
        <v>64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5" t="s">
        <v>68</v>
      </c>
      <c r="AH34" s="16" t="s">
        <v>65</v>
      </c>
      <c r="AI34" s="10"/>
      <c r="AJ34" s="10"/>
      <c r="AK34" s="10"/>
    </row>
    <row r="35" spans="1:37" ht="36.6" customHeight="1" x14ac:dyDescent="0.3">
      <c r="A35" s="11" t="s">
        <v>165</v>
      </c>
      <c r="B35" s="12" t="s">
        <v>159</v>
      </c>
      <c r="C35" s="13" t="s">
        <v>160</v>
      </c>
      <c r="D35" s="13" t="s">
        <v>166</v>
      </c>
      <c r="E35" s="26" t="s">
        <v>78</v>
      </c>
      <c r="F35" s="12" t="s">
        <v>60</v>
      </c>
      <c r="G35" s="12" t="s">
        <v>143</v>
      </c>
      <c r="H35" s="12" t="s">
        <v>163</v>
      </c>
      <c r="I35" s="12" t="s">
        <v>167</v>
      </c>
      <c r="J35" s="12">
        <v>3</v>
      </c>
      <c r="K35" s="7">
        <v>0</v>
      </c>
      <c r="L35" s="74" t="s">
        <v>64</v>
      </c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27" t="s">
        <v>78</v>
      </c>
      <c r="AH35" s="28" t="s">
        <v>65</v>
      </c>
      <c r="AI35" s="28" t="s">
        <v>65</v>
      </c>
      <c r="AJ35" s="17"/>
      <c r="AK35" s="17"/>
    </row>
    <row r="36" spans="1:37" ht="36.6" customHeight="1" x14ac:dyDescent="0.3">
      <c r="A36" s="3" t="s">
        <v>168</v>
      </c>
      <c r="B36" s="4" t="s">
        <v>159</v>
      </c>
      <c r="C36" s="5" t="s">
        <v>160</v>
      </c>
      <c r="D36" s="5" t="s">
        <v>169</v>
      </c>
      <c r="E36" s="24" t="s">
        <v>60</v>
      </c>
      <c r="F36" s="4" t="s">
        <v>59</v>
      </c>
      <c r="G36" s="4" t="s">
        <v>146</v>
      </c>
      <c r="H36" s="4" t="s">
        <v>164</v>
      </c>
      <c r="I36" s="4" t="s">
        <v>167</v>
      </c>
      <c r="J36" s="4">
        <v>2</v>
      </c>
      <c r="K36" s="7">
        <v>0</v>
      </c>
      <c r="L36" s="73" t="s">
        <v>64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25" t="s">
        <v>60</v>
      </c>
      <c r="AI36" s="29" t="s">
        <v>65</v>
      </c>
      <c r="AJ36" s="10"/>
      <c r="AK36" s="10"/>
    </row>
    <row r="37" spans="1:37" ht="36.6" customHeight="1" x14ac:dyDescent="0.3">
      <c r="A37" s="11" t="s">
        <v>170</v>
      </c>
      <c r="B37" s="12" t="s">
        <v>159</v>
      </c>
      <c r="C37" s="13" t="s">
        <v>160</v>
      </c>
      <c r="D37" s="13" t="s">
        <v>171</v>
      </c>
      <c r="E37" s="6" t="s">
        <v>59</v>
      </c>
      <c r="F37" s="12" t="s">
        <v>78</v>
      </c>
      <c r="G37" s="12" t="s">
        <v>172</v>
      </c>
      <c r="H37" s="12" t="s">
        <v>164</v>
      </c>
      <c r="I37" s="12" t="s">
        <v>173</v>
      </c>
      <c r="J37" s="12">
        <v>3</v>
      </c>
      <c r="K37" s="7">
        <v>0</v>
      </c>
      <c r="L37" s="74" t="s">
        <v>64</v>
      </c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8" t="s">
        <v>59</v>
      </c>
      <c r="AI37" s="9" t="s">
        <v>65</v>
      </c>
      <c r="AJ37" s="9" t="s">
        <v>65</v>
      </c>
      <c r="AK37" s="17"/>
    </row>
    <row r="38" spans="1:37" ht="36.6" customHeight="1" x14ac:dyDescent="0.3">
      <c r="A38" s="3" t="s">
        <v>174</v>
      </c>
      <c r="B38" s="4" t="s">
        <v>159</v>
      </c>
      <c r="C38" s="5" t="s">
        <v>160</v>
      </c>
      <c r="D38" s="5" t="s">
        <v>175</v>
      </c>
      <c r="E38" s="6" t="s">
        <v>59</v>
      </c>
      <c r="F38" s="4" t="s">
        <v>176</v>
      </c>
      <c r="G38" s="4" t="s">
        <v>177</v>
      </c>
      <c r="H38" s="4" t="s">
        <v>167</v>
      </c>
      <c r="I38" s="4" t="s">
        <v>173</v>
      </c>
      <c r="J38" s="4">
        <v>2</v>
      </c>
      <c r="K38" s="7">
        <v>0</v>
      </c>
      <c r="L38" s="73" t="s">
        <v>64</v>
      </c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8" t="s">
        <v>59</v>
      </c>
      <c r="AJ38" s="9" t="s">
        <v>65</v>
      </c>
      <c r="AK38" s="10"/>
    </row>
    <row r="39" spans="1:37" ht="36.6" customHeight="1" x14ac:dyDescent="0.3">
      <c r="A39" s="11" t="s">
        <v>178</v>
      </c>
      <c r="B39" s="12" t="s">
        <v>159</v>
      </c>
      <c r="C39" s="13" t="s">
        <v>160</v>
      </c>
      <c r="D39" s="13" t="s">
        <v>179</v>
      </c>
      <c r="E39" s="21" t="s">
        <v>73</v>
      </c>
      <c r="F39" s="12" t="s">
        <v>78</v>
      </c>
      <c r="G39" s="12" t="s">
        <v>180</v>
      </c>
      <c r="H39" s="12" t="s">
        <v>167</v>
      </c>
      <c r="I39" s="12" t="s">
        <v>181</v>
      </c>
      <c r="J39" s="12">
        <v>3</v>
      </c>
      <c r="K39" s="7">
        <v>0</v>
      </c>
      <c r="L39" s="74" t="s">
        <v>64</v>
      </c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22" t="s">
        <v>73</v>
      </c>
      <c r="AJ39" s="23" t="s">
        <v>65</v>
      </c>
      <c r="AK39" s="23" t="s">
        <v>65</v>
      </c>
    </row>
    <row r="40" spans="1:37" ht="36.6" customHeight="1" x14ac:dyDescent="0.3">
      <c r="A40" s="3" t="s">
        <v>182</v>
      </c>
      <c r="B40" s="4" t="s">
        <v>159</v>
      </c>
      <c r="C40" s="5" t="s">
        <v>160</v>
      </c>
      <c r="D40" s="5" t="s">
        <v>183</v>
      </c>
      <c r="E40" s="6" t="s">
        <v>59</v>
      </c>
      <c r="F40" s="4" t="s">
        <v>60</v>
      </c>
      <c r="G40" s="4" t="s">
        <v>184</v>
      </c>
      <c r="H40" s="4" t="s">
        <v>173</v>
      </c>
      <c r="I40" s="4" t="s">
        <v>181</v>
      </c>
      <c r="J40" s="4">
        <v>2</v>
      </c>
      <c r="K40" s="7">
        <v>0</v>
      </c>
      <c r="L40" s="73" t="s">
        <v>64</v>
      </c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8" t="s">
        <v>59</v>
      </c>
      <c r="AK40" s="9" t="s">
        <v>65</v>
      </c>
    </row>
    <row r="41" spans="1:37" ht="36.6" customHeight="1" x14ac:dyDescent="0.3">
      <c r="A41" s="11" t="s">
        <v>185</v>
      </c>
      <c r="B41" s="12" t="s">
        <v>159</v>
      </c>
      <c r="C41" s="13" t="s">
        <v>160</v>
      </c>
      <c r="D41" s="13" t="s">
        <v>186</v>
      </c>
      <c r="E41" s="24" t="s">
        <v>60</v>
      </c>
      <c r="F41" s="12" t="s">
        <v>59</v>
      </c>
      <c r="G41" s="12" t="s">
        <v>187</v>
      </c>
      <c r="H41" s="12" t="s">
        <v>181</v>
      </c>
      <c r="I41" s="12" t="s">
        <v>181</v>
      </c>
      <c r="J41" s="12">
        <v>1</v>
      </c>
      <c r="K41" s="7">
        <v>0</v>
      </c>
      <c r="L41" s="74" t="s">
        <v>64</v>
      </c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25" t="s">
        <v>60</v>
      </c>
    </row>
    <row r="42" spans="1:37" ht="25.95" customHeight="1" x14ac:dyDescent="0.3">
      <c r="A42" s="47" t="s">
        <v>188</v>
      </c>
      <c r="B42" s="48"/>
      <c r="C42" s="48"/>
      <c r="D42" s="48"/>
      <c r="E42" s="48"/>
      <c r="F42" s="48"/>
      <c r="G42" s="48"/>
      <c r="H42" s="48"/>
      <c r="I42" s="48"/>
      <c r="J42" s="30">
        <f>SUM(J8:J41)</f>
        <v>97</v>
      </c>
      <c r="K42" s="31">
        <f>AVERAGE(K8:K41)</f>
        <v>0</v>
      </c>
      <c r="L42" s="30" t="s">
        <v>189</v>
      </c>
      <c r="M42" s="32">
        <f t="shared" ref="M42:AK42" si="0">COUNTIF(M8:M41, "&lt;&gt;")</f>
        <v>2</v>
      </c>
      <c r="N42" s="32">
        <f t="shared" si="0"/>
        <v>5</v>
      </c>
      <c r="O42" s="32">
        <f t="shared" si="0"/>
        <v>4</v>
      </c>
      <c r="P42" s="32">
        <f t="shared" si="0"/>
        <v>3</v>
      </c>
      <c r="Q42" s="32">
        <f t="shared" si="0"/>
        <v>2</v>
      </c>
      <c r="R42" s="32">
        <f t="shared" si="0"/>
        <v>5</v>
      </c>
      <c r="S42" s="32">
        <f t="shared" si="0"/>
        <v>5</v>
      </c>
      <c r="T42" s="32">
        <f t="shared" si="0"/>
        <v>5</v>
      </c>
      <c r="U42" s="32">
        <f t="shared" si="0"/>
        <v>5</v>
      </c>
      <c r="V42" s="32">
        <f t="shared" si="0"/>
        <v>2</v>
      </c>
      <c r="W42" s="32">
        <f t="shared" si="0"/>
        <v>4</v>
      </c>
      <c r="X42" s="32">
        <f t="shared" si="0"/>
        <v>5</v>
      </c>
      <c r="Y42" s="32">
        <f t="shared" si="0"/>
        <v>5</v>
      </c>
      <c r="Z42" s="32">
        <f t="shared" si="0"/>
        <v>5</v>
      </c>
      <c r="AA42" s="32">
        <f t="shared" si="0"/>
        <v>2</v>
      </c>
      <c r="AB42" s="32">
        <f t="shared" si="0"/>
        <v>4</v>
      </c>
      <c r="AC42" s="32">
        <f t="shared" si="0"/>
        <v>5</v>
      </c>
      <c r="AD42" s="32">
        <f t="shared" si="0"/>
        <v>6</v>
      </c>
      <c r="AE42" s="32">
        <f t="shared" si="0"/>
        <v>3</v>
      </c>
      <c r="AF42" s="32">
        <f t="shared" si="0"/>
        <v>2</v>
      </c>
      <c r="AG42" s="32">
        <f t="shared" si="0"/>
        <v>2</v>
      </c>
      <c r="AH42" s="32">
        <f t="shared" si="0"/>
        <v>4</v>
      </c>
      <c r="AI42" s="32">
        <f t="shared" si="0"/>
        <v>5</v>
      </c>
      <c r="AJ42" s="32">
        <f t="shared" si="0"/>
        <v>4</v>
      </c>
      <c r="AK42" s="32">
        <f t="shared" si="0"/>
        <v>3</v>
      </c>
    </row>
  </sheetData>
  <mergeCells count="31">
    <mergeCell ref="A4:E4"/>
    <mergeCell ref="A1:AK1"/>
    <mergeCell ref="R5:AA5"/>
    <mergeCell ref="AB6:AF6"/>
    <mergeCell ref="M6:Q6"/>
    <mergeCell ref="W6:AA6"/>
    <mergeCell ref="H6:H7"/>
    <mergeCell ref="J6:J7"/>
    <mergeCell ref="AG6:AK6"/>
    <mergeCell ref="A6:A7"/>
    <mergeCell ref="C6:C7"/>
    <mergeCell ref="I6:I7"/>
    <mergeCell ref="K6:K7"/>
    <mergeCell ref="A42:I42"/>
    <mergeCell ref="D6:D7"/>
    <mergeCell ref="R6:V6"/>
    <mergeCell ref="A3:AK3"/>
    <mergeCell ref="E6:E7"/>
    <mergeCell ref="G6:G7"/>
    <mergeCell ref="A2:AK2"/>
    <mergeCell ref="B6:B7"/>
    <mergeCell ref="F5:J5"/>
    <mergeCell ref="A5:E5"/>
    <mergeCell ref="K5:Q5"/>
    <mergeCell ref="F6:F7"/>
    <mergeCell ref="L6:L7"/>
    <mergeCell ref="R4:AA4"/>
    <mergeCell ref="F4:J4"/>
    <mergeCell ref="AB5:AK5"/>
    <mergeCell ref="AB4:AK4"/>
    <mergeCell ref="K4:Q4"/>
  </mergeCells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AD10"/>
  <sheetViews>
    <sheetView tabSelected="1" workbookViewId="0">
      <pane xSplit="4" ySplit="5" topLeftCell="V6" activePane="bottomRight" state="frozen"/>
      <selection pane="topRight"/>
      <selection pane="bottomLeft"/>
      <selection pane="bottomRight" activeCell="I6" sqref="I6"/>
    </sheetView>
  </sheetViews>
  <sheetFormatPr defaultRowHeight="14.4" x14ac:dyDescent="0.3"/>
  <cols>
    <col min="1" max="1" width="6.109375" customWidth="1"/>
    <col min="2" max="2" width="15.33203125" customWidth="1"/>
    <col min="3" max="3" width="8.5546875" customWidth="1"/>
    <col min="4" max="4" width="28" customWidth="1"/>
    <col min="5" max="29" width="16" customWidth="1"/>
    <col min="30" max="30" width="8" customWidth="1"/>
  </cols>
  <sheetData>
    <row r="1" spans="1:30" x14ac:dyDescent="0.3">
      <c r="A1" s="43" t="s">
        <v>190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</row>
    <row r="2" spans="1:30" x14ac:dyDescent="0.3">
      <c r="A2" s="40" t="s">
        <v>191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</row>
    <row r="4" spans="1:30" ht="15" thickBot="1" x14ac:dyDescent="0.35">
      <c r="A4" s="42" t="s">
        <v>192</v>
      </c>
      <c r="B4" s="42" t="s">
        <v>193</v>
      </c>
      <c r="C4" s="70" t="s">
        <v>483</v>
      </c>
      <c r="D4" s="42" t="s">
        <v>194</v>
      </c>
      <c r="E4" s="38" t="s">
        <v>195</v>
      </c>
      <c r="F4" s="39"/>
      <c r="G4" s="39"/>
      <c r="H4" s="39"/>
      <c r="I4" s="39"/>
      <c r="J4" s="38" t="s">
        <v>196</v>
      </c>
      <c r="K4" s="39"/>
      <c r="L4" s="39"/>
      <c r="M4" s="39"/>
      <c r="N4" s="39"/>
      <c r="O4" s="38" t="s">
        <v>197</v>
      </c>
      <c r="P4" s="39"/>
      <c r="Q4" s="39"/>
      <c r="R4" s="39"/>
      <c r="S4" s="39"/>
      <c r="T4" s="38" t="s">
        <v>198</v>
      </c>
      <c r="U4" s="39"/>
      <c r="V4" s="39"/>
      <c r="W4" s="39"/>
      <c r="X4" s="39"/>
      <c r="Y4" s="38" t="s">
        <v>199</v>
      </c>
      <c r="Z4" s="39"/>
      <c r="AA4" s="39"/>
      <c r="AB4" s="39"/>
      <c r="AC4" s="39"/>
      <c r="AD4" s="42" t="s">
        <v>200</v>
      </c>
    </row>
    <row r="5" spans="1:30" ht="24.6" customHeight="1" thickBot="1" x14ac:dyDescent="0.35">
      <c r="A5" s="39"/>
      <c r="B5" s="39"/>
      <c r="C5" s="39"/>
      <c r="D5" s="39"/>
      <c r="E5" s="2" t="s">
        <v>30</v>
      </c>
      <c r="F5" s="2" t="s">
        <v>31</v>
      </c>
      <c r="G5" s="2" t="s">
        <v>32</v>
      </c>
      <c r="H5" s="2" t="s">
        <v>33</v>
      </c>
      <c r="I5" s="2" t="s">
        <v>34</v>
      </c>
      <c r="J5" s="2" t="s">
        <v>35</v>
      </c>
      <c r="K5" s="2" t="s">
        <v>36</v>
      </c>
      <c r="L5" s="2" t="s">
        <v>37</v>
      </c>
      <c r="M5" s="2" t="s">
        <v>38</v>
      </c>
      <c r="N5" s="2" t="s">
        <v>39</v>
      </c>
      <c r="O5" s="2" t="s">
        <v>40</v>
      </c>
      <c r="P5" s="2" t="s">
        <v>41</v>
      </c>
      <c r="Q5" s="2" t="s">
        <v>42</v>
      </c>
      <c r="R5" s="2" t="s">
        <v>43</v>
      </c>
      <c r="S5" s="2" t="s">
        <v>44</v>
      </c>
      <c r="T5" s="2" t="s">
        <v>45</v>
      </c>
      <c r="U5" s="2" t="s">
        <v>46</v>
      </c>
      <c r="V5" s="2" t="s">
        <v>47</v>
      </c>
      <c r="W5" s="2" t="s">
        <v>48</v>
      </c>
      <c r="X5" s="2" t="s">
        <v>49</v>
      </c>
      <c r="Y5" s="2" t="s">
        <v>50</v>
      </c>
      <c r="Z5" s="2" t="s">
        <v>51</v>
      </c>
      <c r="AA5" s="2" t="s">
        <v>52</v>
      </c>
      <c r="AB5" s="2" t="s">
        <v>53</v>
      </c>
      <c r="AC5" s="2" t="s">
        <v>54</v>
      </c>
      <c r="AD5" s="39"/>
    </row>
    <row r="6" spans="1:30" ht="42" customHeight="1" x14ac:dyDescent="0.3">
      <c r="A6" s="3" t="s">
        <v>59</v>
      </c>
      <c r="B6" s="68" t="s">
        <v>481</v>
      </c>
      <c r="C6" s="68">
        <v>2001220971</v>
      </c>
      <c r="D6" s="5" t="s">
        <v>201</v>
      </c>
      <c r="E6" s="34" t="s">
        <v>202</v>
      </c>
      <c r="F6" s="34" t="s">
        <v>203</v>
      </c>
      <c r="G6" s="34" t="s">
        <v>204</v>
      </c>
      <c r="H6" s="34" t="s">
        <v>205</v>
      </c>
      <c r="I6" s="34" t="s">
        <v>206</v>
      </c>
      <c r="J6" s="34" t="s">
        <v>207</v>
      </c>
      <c r="K6" s="34" t="s">
        <v>208</v>
      </c>
      <c r="L6" s="34" t="s">
        <v>209</v>
      </c>
      <c r="M6" s="34" t="s">
        <v>210</v>
      </c>
      <c r="N6" s="34" t="s">
        <v>211</v>
      </c>
      <c r="O6" s="34" t="s">
        <v>212</v>
      </c>
      <c r="P6" s="34" t="s">
        <v>213</v>
      </c>
      <c r="Q6" s="34" t="s">
        <v>214</v>
      </c>
      <c r="R6" s="34" t="s">
        <v>215</v>
      </c>
      <c r="S6" s="34" t="s">
        <v>216</v>
      </c>
      <c r="T6" s="34" t="s">
        <v>217</v>
      </c>
      <c r="U6" s="34" t="s">
        <v>218</v>
      </c>
      <c r="V6" s="34" t="s">
        <v>219</v>
      </c>
      <c r="W6" s="34" t="s">
        <v>220</v>
      </c>
      <c r="X6" s="34" t="s">
        <v>221</v>
      </c>
      <c r="Y6" s="34" t="s">
        <v>222</v>
      </c>
      <c r="Z6" s="34" t="s">
        <v>223</v>
      </c>
      <c r="AA6" s="34" t="s">
        <v>224</v>
      </c>
      <c r="AB6" s="34" t="s">
        <v>225</v>
      </c>
      <c r="AC6" s="34" t="s">
        <v>226</v>
      </c>
      <c r="AD6" s="3">
        <v>25</v>
      </c>
    </row>
    <row r="7" spans="1:30" ht="42" customHeight="1" x14ac:dyDescent="0.3">
      <c r="A7" s="11" t="s">
        <v>68</v>
      </c>
      <c r="B7" s="69" t="s">
        <v>482</v>
      </c>
      <c r="C7" s="69">
        <v>2001216039</v>
      </c>
      <c r="D7" s="13" t="s">
        <v>227</v>
      </c>
      <c r="E7" s="34" t="s">
        <v>228</v>
      </c>
      <c r="F7" s="34" t="s">
        <v>229</v>
      </c>
      <c r="G7" s="34" t="s">
        <v>230</v>
      </c>
      <c r="H7" s="34" t="s">
        <v>231</v>
      </c>
      <c r="I7" s="34" t="s">
        <v>232</v>
      </c>
      <c r="J7" s="34" t="s">
        <v>233</v>
      </c>
      <c r="K7" s="34" t="s">
        <v>234</v>
      </c>
      <c r="L7" s="34" t="s">
        <v>235</v>
      </c>
      <c r="M7" s="34" t="s">
        <v>236</v>
      </c>
      <c r="N7" s="34" t="s">
        <v>237</v>
      </c>
      <c r="O7" s="34" t="s">
        <v>238</v>
      </c>
      <c r="P7" s="34" t="s">
        <v>239</v>
      </c>
      <c r="Q7" s="34" t="s">
        <v>240</v>
      </c>
      <c r="R7" s="34" t="s">
        <v>241</v>
      </c>
      <c r="S7" s="34" t="s">
        <v>242</v>
      </c>
      <c r="T7" s="34" t="s">
        <v>243</v>
      </c>
      <c r="U7" s="34" t="s">
        <v>244</v>
      </c>
      <c r="V7" s="34" t="s">
        <v>245</v>
      </c>
      <c r="W7" s="34" t="s">
        <v>246</v>
      </c>
      <c r="X7" s="34" t="s">
        <v>247</v>
      </c>
      <c r="Y7" s="34" t="s">
        <v>248</v>
      </c>
      <c r="Z7" s="34" t="s">
        <v>249</v>
      </c>
      <c r="AA7" s="34" t="s">
        <v>250</v>
      </c>
      <c r="AB7" s="34" t="s">
        <v>251</v>
      </c>
      <c r="AC7" s="34" t="s">
        <v>252</v>
      </c>
      <c r="AD7" s="11">
        <v>25</v>
      </c>
    </row>
    <row r="8" spans="1:30" ht="42" customHeight="1" x14ac:dyDescent="0.3">
      <c r="A8" s="3" t="s">
        <v>69</v>
      </c>
      <c r="B8" s="68" t="s">
        <v>484</v>
      </c>
      <c r="C8" s="68">
        <v>2001210729</v>
      </c>
      <c r="D8" s="5" t="s">
        <v>253</v>
      </c>
      <c r="E8" s="34" t="s">
        <v>254</v>
      </c>
      <c r="F8" s="34" t="s">
        <v>255</v>
      </c>
      <c r="G8" s="34" t="s">
        <v>256</v>
      </c>
      <c r="H8" s="34" t="s">
        <v>257</v>
      </c>
      <c r="I8" s="34" t="s">
        <v>258</v>
      </c>
      <c r="J8" s="34" t="s">
        <v>259</v>
      </c>
      <c r="K8" s="34" t="s">
        <v>260</v>
      </c>
      <c r="L8" s="34" t="s">
        <v>261</v>
      </c>
      <c r="M8" s="34" t="s">
        <v>262</v>
      </c>
      <c r="N8" s="34" t="s">
        <v>263</v>
      </c>
      <c r="O8" s="34" t="s">
        <v>264</v>
      </c>
      <c r="P8" s="34" t="s">
        <v>265</v>
      </c>
      <c r="Q8" s="34" t="s">
        <v>266</v>
      </c>
      <c r="R8" s="34" t="s">
        <v>267</v>
      </c>
      <c r="S8" s="34" t="s">
        <v>268</v>
      </c>
      <c r="T8" s="34" t="s">
        <v>269</v>
      </c>
      <c r="U8" s="34" t="s">
        <v>270</v>
      </c>
      <c r="V8" s="34" t="s">
        <v>271</v>
      </c>
      <c r="W8" s="34" t="s">
        <v>272</v>
      </c>
      <c r="X8" s="34" t="s">
        <v>273</v>
      </c>
      <c r="Y8" s="34" t="s">
        <v>274</v>
      </c>
      <c r="Z8" s="34" t="s">
        <v>275</v>
      </c>
      <c r="AA8" s="34" t="s">
        <v>276</v>
      </c>
      <c r="AB8" s="34" t="s">
        <v>277</v>
      </c>
      <c r="AC8" s="34" t="s">
        <v>252</v>
      </c>
      <c r="AD8" s="3">
        <v>25</v>
      </c>
    </row>
    <row r="9" spans="1:30" ht="42" customHeight="1" x14ac:dyDescent="0.3">
      <c r="A9" s="11" t="s">
        <v>73</v>
      </c>
      <c r="B9" s="69" t="s">
        <v>486</v>
      </c>
      <c r="C9" s="35">
        <v>2001210155</v>
      </c>
      <c r="D9" s="13" t="s">
        <v>278</v>
      </c>
      <c r="E9" s="34" t="s">
        <v>279</v>
      </c>
      <c r="F9" s="34" t="s">
        <v>280</v>
      </c>
      <c r="G9" s="34" t="s">
        <v>281</v>
      </c>
      <c r="H9" s="34" t="s">
        <v>282</v>
      </c>
      <c r="I9" s="34" t="s">
        <v>283</v>
      </c>
      <c r="J9" s="34" t="s">
        <v>284</v>
      </c>
      <c r="K9" s="34" t="s">
        <v>285</v>
      </c>
      <c r="L9" s="34" t="s">
        <v>286</v>
      </c>
      <c r="M9" s="34" t="s">
        <v>287</v>
      </c>
      <c r="N9" s="34" t="s">
        <v>288</v>
      </c>
      <c r="O9" s="34" t="s">
        <v>289</v>
      </c>
      <c r="P9" s="34" t="s">
        <v>290</v>
      </c>
      <c r="Q9" s="34" t="s">
        <v>291</v>
      </c>
      <c r="R9" s="34" t="s">
        <v>292</v>
      </c>
      <c r="S9" s="34" t="s">
        <v>293</v>
      </c>
      <c r="T9" s="34" t="s">
        <v>294</v>
      </c>
      <c r="U9" s="34" t="s">
        <v>295</v>
      </c>
      <c r="V9" s="34" t="s">
        <v>296</v>
      </c>
      <c r="W9" s="34" t="s">
        <v>297</v>
      </c>
      <c r="X9" s="34" t="s">
        <v>298</v>
      </c>
      <c r="Y9" s="34" t="s">
        <v>299</v>
      </c>
      <c r="Z9" s="34" t="s">
        <v>300</v>
      </c>
      <c r="AA9" s="34" t="s">
        <v>301</v>
      </c>
      <c r="AB9" s="34" t="s">
        <v>302</v>
      </c>
      <c r="AC9" s="34" t="s">
        <v>252</v>
      </c>
      <c r="AD9" s="11">
        <v>25</v>
      </c>
    </row>
    <row r="10" spans="1:30" ht="42" customHeight="1" x14ac:dyDescent="0.3">
      <c r="A10" s="3" t="s">
        <v>78</v>
      </c>
      <c r="B10" s="68" t="s">
        <v>485</v>
      </c>
      <c r="C10" s="33">
        <v>2033210955</v>
      </c>
      <c r="D10" s="5" t="s">
        <v>303</v>
      </c>
      <c r="E10" s="34" t="s">
        <v>304</v>
      </c>
      <c r="F10" s="34" t="s">
        <v>305</v>
      </c>
      <c r="G10" s="34" t="s">
        <v>306</v>
      </c>
      <c r="H10" s="34" t="s">
        <v>307</v>
      </c>
      <c r="I10" s="34" t="s">
        <v>308</v>
      </c>
      <c r="J10" s="34" t="s">
        <v>309</v>
      </c>
      <c r="K10" s="34" t="s">
        <v>310</v>
      </c>
      <c r="L10" s="34" t="s">
        <v>311</v>
      </c>
      <c r="M10" s="34" t="s">
        <v>312</v>
      </c>
      <c r="N10" s="34" t="s">
        <v>313</v>
      </c>
      <c r="O10" s="34" t="s">
        <v>314</v>
      </c>
      <c r="P10" s="34" t="s">
        <v>315</v>
      </c>
      <c r="Q10" s="34" t="s">
        <v>316</v>
      </c>
      <c r="R10" s="34" t="s">
        <v>317</v>
      </c>
      <c r="S10" s="34" t="s">
        <v>318</v>
      </c>
      <c r="T10" s="34" t="s">
        <v>319</v>
      </c>
      <c r="U10" s="34" t="s">
        <v>320</v>
      </c>
      <c r="V10" s="34" t="s">
        <v>321</v>
      </c>
      <c r="W10" s="34" t="s">
        <v>322</v>
      </c>
      <c r="X10" s="34" t="s">
        <v>323</v>
      </c>
      <c r="Y10" s="34" t="s">
        <v>324</v>
      </c>
      <c r="Z10" s="34" t="s">
        <v>325</v>
      </c>
      <c r="AA10" s="34" t="s">
        <v>326</v>
      </c>
      <c r="AB10" s="34" t="s">
        <v>327</v>
      </c>
      <c r="AC10" s="34" t="s">
        <v>252</v>
      </c>
      <c r="AD10" s="3">
        <v>25</v>
      </c>
    </row>
  </sheetData>
  <mergeCells count="12">
    <mergeCell ref="J4:N4"/>
    <mergeCell ref="O4:S4"/>
    <mergeCell ref="A1:AD1"/>
    <mergeCell ref="B4:B5"/>
    <mergeCell ref="D4:D5"/>
    <mergeCell ref="A4:A5"/>
    <mergeCell ref="AD4:AD5"/>
    <mergeCell ref="E4:I4"/>
    <mergeCell ref="T4:X4"/>
    <mergeCell ref="A2:AD2"/>
    <mergeCell ref="Y4:AC4"/>
    <mergeCell ref="C4:C5"/>
  </mergeCells>
  <pageMargins left="0.75" right="0.75" top="1" bottom="1" header="0.5" footer="0.5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</sheetPr>
  <dimension ref="A1:I28"/>
  <sheetViews>
    <sheetView workbookViewId="0">
      <selection activeCell="D8" sqref="D8"/>
    </sheetView>
  </sheetViews>
  <sheetFormatPr defaultRowHeight="14.4" x14ac:dyDescent="0.3"/>
  <cols>
    <col min="1" max="1" width="5.5546875" customWidth="1"/>
    <col min="2" max="2" width="14" customWidth="1"/>
    <col min="3" max="3" width="6.21875" customWidth="1"/>
    <col min="4" max="4" width="42" customWidth="1"/>
    <col min="5" max="5" width="12" customWidth="1"/>
    <col min="6" max="6" width="13" customWidth="1"/>
    <col min="7" max="7" width="15" customWidth="1"/>
    <col min="8" max="8" width="14" customWidth="1"/>
    <col min="9" max="9" width="28" customWidth="1"/>
  </cols>
  <sheetData>
    <row r="1" spans="1:9" x14ac:dyDescent="0.3">
      <c r="A1" s="43" t="s">
        <v>328</v>
      </c>
      <c r="B1" s="41"/>
      <c r="C1" s="41"/>
      <c r="D1" s="41"/>
      <c r="E1" s="41"/>
      <c r="F1" s="41"/>
      <c r="G1" s="41"/>
      <c r="H1" s="41"/>
      <c r="I1" s="41"/>
    </row>
    <row r="2" spans="1:9" x14ac:dyDescent="0.3">
      <c r="A2" s="40" t="s">
        <v>329</v>
      </c>
      <c r="B2" s="41"/>
      <c r="C2" s="41"/>
      <c r="D2" s="41"/>
      <c r="E2" s="41"/>
      <c r="F2" s="41"/>
      <c r="G2" s="41"/>
      <c r="H2" s="41"/>
      <c r="I2" s="41"/>
    </row>
    <row r="3" spans="1:9" ht="28.05" customHeight="1" x14ac:dyDescent="0.3">
      <c r="A3" s="1" t="s">
        <v>330</v>
      </c>
      <c r="B3" s="1" t="s">
        <v>331</v>
      </c>
      <c r="C3" s="1" t="s">
        <v>14</v>
      </c>
      <c r="D3" s="1" t="s">
        <v>332</v>
      </c>
      <c r="E3" s="1" t="s">
        <v>333</v>
      </c>
      <c r="F3" s="1" t="s">
        <v>334</v>
      </c>
      <c r="G3" s="1" t="s">
        <v>335</v>
      </c>
      <c r="H3" s="1" t="s">
        <v>336</v>
      </c>
      <c r="I3" s="1" t="s">
        <v>337</v>
      </c>
    </row>
    <row r="4" spans="1:9" ht="45" customHeight="1" x14ac:dyDescent="0.3">
      <c r="A4" s="3" t="s">
        <v>338</v>
      </c>
      <c r="B4" s="5" t="s">
        <v>339</v>
      </c>
      <c r="C4" s="4" t="s">
        <v>56</v>
      </c>
      <c r="D4" s="5" t="s">
        <v>340</v>
      </c>
      <c r="E4" s="4">
        <v>5</v>
      </c>
      <c r="F4" s="7">
        <v>0</v>
      </c>
      <c r="G4" s="36">
        <v>0</v>
      </c>
      <c r="H4" s="73" t="s">
        <v>341</v>
      </c>
      <c r="I4" s="71" t="s">
        <v>342</v>
      </c>
    </row>
    <row r="5" spans="1:9" ht="45" customHeight="1" x14ac:dyDescent="0.3">
      <c r="A5" s="11" t="s">
        <v>343</v>
      </c>
      <c r="B5" s="13" t="s">
        <v>344</v>
      </c>
      <c r="C5" s="12" t="s">
        <v>56</v>
      </c>
      <c r="D5" s="13" t="s">
        <v>345</v>
      </c>
      <c r="E5" s="12">
        <v>5</v>
      </c>
      <c r="F5" s="7">
        <v>0</v>
      </c>
      <c r="G5" s="36">
        <v>0</v>
      </c>
      <c r="H5" s="74" t="s">
        <v>341</v>
      </c>
      <c r="I5" s="72" t="s">
        <v>346</v>
      </c>
    </row>
    <row r="6" spans="1:9" ht="45" customHeight="1" x14ac:dyDescent="0.3">
      <c r="A6" s="3" t="s">
        <v>347</v>
      </c>
      <c r="B6" s="5" t="s">
        <v>348</v>
      </c>
      <c r="C6" s="4" t="s">
        <v>56</v>
      </c>
      <c r="D6" s="5" t="s">
        <v>349</v>
      </c>
      <c r="E6" s="4">
        <v>5</v>
      </c>
      <c r="F6" s="7">
        <v>0</v>
      </c>
      <c r="G6" s="36">
        <v>0</v>
      </c>
      <c r="H6" s="73" t="s">
        <v>341</v>
      </c>
      <c r="I6" s="71" t="s">
        <v>350</v>
      </c>
    </row>
    <row r="7" spans="1:9" ht="45" customHeight="1" x14ac:dyDescent="0.3">
      <c r="A7" s="11" t="s">
        <v>351</v>
      </c>
      <c r="B7" s="13" t="s">
        <v>352</v>
      </c>
      <c r="C7" s="12" t="s">
        <v>56</v>
      </c>
      <c r="D7" s="13" t="s">
        <v>353</v>
      </c>
      <c r="E7" s="12">
        <v>5</v>
      </c>
      <c r="F7" s="7">
        <v>0</v>
      </c>
      <c r="G7" s="36">
        <v>0</v>
      </c>
      <c r="H7" s="74" t="s">
        <v>341</v>
      </c>
      <c r="I7" s="72" t="s">
        <v>354</v>
      </c>
    </row>
    <row r="8" spans="1:9" ht="45" customHeight="1" x14ac:dyDescent="0.3">
      <c r="A8" s="3" t="s">
        <v>355</v>
      </c>
      <c r="B8" s="5" t="s">
        <v>356</v>
      </c>
      <c r="C8" s="4" t="s">
        <v>56</v>
      </c>
      <c r="D8" s="5" t="s">
        <v>357</v>
      </c>
      <c r="E8" s="4">
        <v>5</v>
      </c>
      <c r="F8" s="7">
        <v>0</v>
      </c>
      <c r="G8" s="36">
        <v>0</v>
      </c>
      <c r="H8" s="73" t="s">
        <v>358</v>
      </c>
      <c r="I8" s="71" t="s">
        <v>359</v>
      </c>
    </row>
    <row r="9" spans="1:9" ht="45" customHeight="1" x14ac:dyDescent="0.3">
      <c r="A9" s="11" t="s">
        <v>360</v>
      </c>
      <c r="B9" s="13" t="s">
        <v>361</v>
      </c>
      <c r="C9" s="12" t="s">
        <v>87</v>
      </c>
      <c r="D9" s="13" t="s">
        <v>362</v>
      </c>
      <c r="E9" s="12">
        <v>5</v>
      </c>
      <c r="F9" s="7">
        <v>0</v>
      </c>
      <c r="G9" s="36">
        <v>0</v>
      </c>
      <c r="H9" s="74" t="s">
        <v>341</v>
      </c>
      <c r="I9" s="72" t="s">
        <v>363</v>
      </c>
    </row>
    <row r="10" spans="1:9" ht="45" customHeight="1" x14ac:dyDescent="0.3">
      <c r="A10" s="3" t="s">
        <v>364</v>
      </c>
      <c r="B10" s="5" t="s">
        <v>365</v>
      </c>
      <c r="C10" s="4" t="s">
        <v>87</v>
      </c>
      <c r="D10" s="5" t="s">
        <v>366</v>
      </c>
      <c r="E10" s="4">
        <v>5</v>
      </c>
      <c r="F10" s="7">
        <v>0</v>
      </c>
      <c r="G10" s="36">
        <v>0</v>
      </c>
      <c r="H10" s="73" t="s">
        <v>341</v>
      </c>
      <c r="I10" s="71" t="s">
        <v>367</v>
      </c>
    </row>
    <row r="11" spans="1:9" ht="45" customHeight="1" x14ac:dyDescent="0.3">
      <c r="A11" s="11" t="s">
        <v>368</v>
      </c>
      <c r="B11" s="13" t="s">
        <v>369</v>
      </c>
      <c r="C11" s="12" t="s">
        <v>87</v>
      </c>
      <c r="D11" s="13" t="s">
        <v>370</v>
      </c>
      <c r="E11" s="12">
        <v>5</v>
      </c>
      <c r="F11" s="7">
        <v>0</v>
      </c>
      <c r="G11" s="36">
        <v>0</v>
      </c>
      <c r="H11" s="74" t="s">
        <v>341</v>
      </c>
      <c r="I11" s="72" t="s">
        <v>371</v>
      </c>
    </row>
    <row r="12" spans="1:9" ht="45" customHeight="1" x14ac:dyDescent="0.3">
      <c r="A12" s="3" t="s">
        <v>372</v>
      </c>
      <c r="B12" s="5" t="s">
        <v>373</v>
      </c>
      <c r="C12" s="4" t="s">
        <v>87</v>
      </c>
      <c r="D12" s="5" t="s">
        <v>374</v>
      </c>
      <c r="E12" s="4">
        <v>5</v>
      </c>
      <c r="F12" s="7">
        <v>0</v>
      </c>
      <c r="G12" s="36">
        <v>0</v>
      </c>
      <c r="H12" s="73" t="s">
        <v>341</v>
      </c>
      <c r="I12" s="71" t="s">
        <v>375</v>
      </c>
    </row>
    <row r="13" spans="1:9" ht="45" customHeight="1" x14ac:dyDescent="0.3">
      <c r="A13" s="11" t="s">
        <v>376</v>
      </c>
      <c r="B13" s="13" t="s">
        <v>377</v>
      </c>
      <c r="C13" s="12" t="s">
        <v>87</v>
      </c>
      <c r="D13" s="13" t="s">
        <v>378</v>
      </c>
      <c r="E13" s="12">
        <v>5</v>
      </c>
      <c r="F13" s="7">
        <v>0</v>
      </c>
      <c r="G13" s="36">
        <v>0</v>
      </c>
      <c r="H13" s="74" t="s">
        <v>379</v>
      </c>
      <c r="I13" s="72" t="s">
        <v>380</v>
      </c>
    </row>
    <row r="14" spans="1:9" ht="45" customHeight="1" x14ac:dyDescent="0.3">
      <c r="A14" s="3" t="s">
        <v>381</v>
      </c>
      <c r="B14" s="5" t="s">
        <v>382</v>
      </c>
      <c r="C14" s="4" t="s">
        <v>113</v>
      </c>
      <c r="D14" s="5" t="s">
        <v>383</v>
      </c>
      <c r="E14" s="4">
        <v>5</v>
      </c>
      <c r="F14" s="7">
        <v>0</v>
      </c>
      <c r="G14" s="36">
        <v>0</v>
      </c>
      <c r="H14" s="73" t="s">
        <v>341</v>
      </c>
      <c r="I14" s="71" t="s">
        <v>384</v>
      </c>
    </row>
    <row r="15" spans="1:9" ht="45" customHeight="1" x14ac:dyDescent="0.3">
      <c r="A15" s="11" t="s">
        <v>385</v>
      </c>
      <c r="B15" s="13" t="s">
        <v>386</v>
      </c>
      <c r="C15" s="12" t="s">
        <v>113</v>
      </c>
      <c r="D15" s="13" t="s">
        <v>387</v>
      </c>
      <c r="E15" s="12">
        <v>5</v>
      </c>
      <c r="F15" s="7">
        <v>0</v>
      </c>
      <c r="G15" s="36">
        <v>0</v>
      </c>
      <c r="H15" s="74" t="s">
        <v>341</v>
      </c>
      <c r="I15" s="72" t="s">
        <v>388</v>
      </c>
    </row>
    <row r="16" spans="1:9" ht="45" customHeight="1" x14ac:dyDescent="0.3">
      <c r="A16" s="3" t="s">
        <v>389</v>
      </c>
      <c r="B16" s="5" t="s">
        <v>390</v>
      </c>
      <c r="C16" s="4" t="s">
        <v>113</v>
      </c>
      <c r="D16" s="5" t="s">
        <v>391</v>
      </c>
      <c r="E16" s="4">
        <v>5</v>
      </c>
      <c r="F16" s="7">
        <v>0</v>
      </c>
      <c r="G16" s="36">
        <v>0</v>
      </c>
      <c r="H16" s="73" t="s">
        <v>341</v>
      </c>
      <c r="I16" s="71" t="s">
        <v>392</v>
      </c>
    </row>
    <row r="17" spans="1:9" ht="45" customHeight="1" x14ac:dyDescent="0.3">
      <c r="A17" s="11" t="s">
        <v>393</v>
      </c>
      <c r="B17" s="13" t="s">
        <v>394</v>
      </c>
      <c r="C17" s="12" t="s">
        <v>113</v>
      </c>
      <c r="D17" s="13" t="s">
        <v>395</v>
      </c>
      <c r="E17" s="12">
        <v>5</v>
      </c>
      <c r="F17" s="7">
        <v>0</v>
      </c>
      <c r="G17" s="36">
        <v>0</v>
      </c>
      <c r="H17" s="74" t="s">
        <v>341</v>
      </c>
      <c r="I17" s="72" t="s">
        <v>396</v>
      </c>
    </row>
    <row r="18" spans="1:9" ht="45" customHeight="1" x14ac:dyDescent="0.3">
      <c r="A18" s="3" t="s">
        <v>397</v>
      </c>
      <c r="B18" s="5" t="s">
        <v>398</v>
      </c>
      <c r="C18" s="4" t="s">
        <v>113</v>
      </c>
      <c r="D18" s="5" t="s">
        <v>399</v>
      </c>
      <c r="E18" s="4">
        <v>5</v>
      </c>
      <c r="F18" s="7">
        <v>0</v>
      </c>
      <c r="G18" s="36">
        <v>0</v>
      </c>
      <c r="H18" s="73" t="s">
        <v>400</v>
      </c>
      <c r="I18" s="71" t="s">
        <v>401</v>
      </c>
    </row>
    <row r="19" spans="1:9" ht="45" customHeight="1" x14ac:dyDescent="0.3">
      <c r="A19" s="11" t="s">
        <v>402</v>
      </c>
      <c r="B19" s="13" t="s">
        <v>403</v>
      </c>
      <c r="C19" s="12" t="s">
        <v>136</v>
      </c>
      <c r="D19" s="13" t="s">
        <v>404</v>
      </c>
      <c r="E19" s="12">
        <v>5</v>
      </c>
      <c r="F19" s="7">
        <v>0</v>
      </c>
      <c r="G19" s="36">
        <v>0</v>
      </c>
      <c r="H19" s="74" t="s">
        <v>341</v>
      </c>
      <c r="I19" s="72" t="s">
        <v>405</v>
      </c>
    </row>
    <row r="20" spans="1:9" ht="45" customHeight="1" x14ac:dyDescent="0.3">
      <c r="A20" s="3" t="s">
        <v>406</v>
      </c>
      <c r="B20" s="5" t="s">
        <v>407</v>
      </c>
      <c r="C20" s="4" t="s">
        <v>136</v>
      </c>
      <c r="D20" s="5" t="s">
        <v>408</v>
      </c>
      <c r="E20" s="4">
        <v>5</v>
      </c>
      <c r="F20" s="7">
        <v>0</v>
      </c>
      <c r="G20" s="36">
        <v>0</v>
      </c>
      <c r="H20" s="73" t="s">
        <v>341</v>
      </c>
      <c r="I20" s="71" t="s">
        <v>409</v>
      </c>
    </row>
    <row r="21" spans="1:9" ht="45" customHeight="1" x14ac:dyDescent="0.3">
      <c r="A21" s="11" t="s">
        <v>410</v>
      </c>
      <c r="B21" s="13" t="s">
        <v>411</v>
      </c>
      <c r="C21" s="12" t="s">
        <v>136</v>
      </c>
      <c r="D21" s="13" t="s">
        <v>412</v>
      </c>
      <c r="E21" s="12">
        <v>5</v>
      </c>
      <c r="F21" s="7">
        <v>0</v>
      </c>
      <c r="G21" s="36">
        <v>0</v>
      </c>
      <c r="H21" s="74" t="s">
        <v>341</v>
      </c>
      <c r="I21" s="72" t="s">
        <v>413</v>
      </c>
    </row>
    <row r="22" spans="1:9" ht="45" customHeight="1" x14ac:dyDescent="0.3">
      <c r="A22" s="3" t="s">
        <v>414</v>
      </c>
      <c r="B22" s="5" t="s">
        <v>415</v>
      </c>
      <c r="C22" s="4" t="s">
        <v>136</v>
      </c>
      <c r="D22" s="5" t="s">
        <v>416</v>
      </c>
      <c r="E22" s="4">
        <v>5</v>
      </c>
      <c r="F22" s="7">
        <v>0</v>
      </c>
      <c r="G22" s="36">
        <v>0</v>
      </c>
      <c r="H22" s="73" t="s">
        <v>341</v>
      </c>
      <c r="I22" s="71" t="s">
        <v>417</v>
      </c>
    </row>
    <row r="23" spans="1:9" ht="45" customHeight="1" x14ac:dyDescent="0.3">
      <c r="A23" s="11" t="s">
        <v>418</v>
      </c>
      <c r="B23" s="13" t="s">
        <v>419</v>
      </c>
      <c r="C23" s="12" t="s">
        <v>136</v>
      </c>
      <c r="D23" s="13" t="s">
        <v>420</v>
      </c>
      <c r="E23" s="12">
        <v>5</v>
      </c>
      <c r="F23" s="7">
        <v>0</v>
      </c>
      <c r="G23" s="36">
        <v>0</v>
      </c>
      <c r="H23" s="74" t="s">
        <v>421</v>
      </c>
      <c r="I23" s="72" t="s">
        <v>422</v>
      </c>
    </row>
    <row r="24" spans="1:9" ht="45" customHeight="1" x14ac:dyDescent="0.3">
      <c r="A24" s="3" t="s">
        <v>423</v>
      </c>
      <c r="B24" s="5" t="s">
        <v>424</v>
      </c>
      <c r="C24" s="4" t="s">
        <v>159</v>
      </c>
      <c r="D24" s="5" t="s">
        <v>425</v>
      </c>
      <c r="E24" s="4">
        <v>5</v>
      </c>
      <c r="F24" s="7">
        <v>0</v>
      </c>
      <c r="G24" s="36">
        <v>0</v>
      </c>
      <c r="H24" s="73" t="s">
        <v>341</v>
      </c>
      <c r="I24" s="71" t="s">
        <v>426</v>
      </c>
    </row>
    <row r="25" spans="1:9" ht="45" customHeight="1" x14ac:dyDescent="0.3">
      <c r="A25" s="11" t="s">
        <v>427</v>
      </c>
      <c r="B25" s="13" t="s">
        <v>428</v>
      </c>
      <c r="C25" s="12" t="s">
        <v>159</v>
      </c>
      <c r="D25" s="13" t="s">
        <v>429</v>
      </c>
      <c r="E25" s="12">
        <v>5</v>
      </c>
      <c r="F25" s="7">
        <v>0</v>
      </c>
      <c r="G25" s="36">
        <v>0</v>
      </c>
      <c r="H25" s="74" t="s">
        <v>341</v>
      </c>
      <c r="I25" s="72" t="s">
        <v>430</v>
      </c>
    </row>
    <row r="26" spans="1:9" ht="45" customHeight="1" x14ac:dyDescent="0.3">
      <c r="A26" s="3" t="s">
        <v>431</v>
      </c>
      <c r="B26" s="5" t="s">
        <v>432</v>
      </c>
      <c r="C26" s="4" t="s">
        <v>159</v>
      </c>
      <c r="D26" s="5" t="s">
        <v>433</v>
      </c>
      <c r="E26" s="4">
        <v>5</v>
      </c>
      <c r="F26" s="7">
        <v>0</v>
      </c>
      <c r="G26" s="36">
        <v>0</v>
      </c>
      <c r="H26" s="73" t="s">
        <v>341</v>
      </c>
      <c r="I26" s="71" t="s">
        <v>434</v>
      </c>
    </row>
    <row r="27" spans="1:9" ht="45" customHeight="1" x14ac:dyDescent="0.3">
      <c r="A27" s="11" t="s">
        <v>435</v>
      </c>
      <c r="B27" s="13" t="s">
        <v>436</v>
      </c>
      <c r="C27" s="12" t="s">
        <v>159</v>
      </c>
      <c r="D27" s="13" t="s">
        <v>437</v>
      </c>
      <c r="E27" s="12">
        <v>5</v>
      </c>
      <c r="F27" s="7">
        <v>0</v>
      </c>
      <c r="G27" s="36">
        <v>0</v>
      </c>
      <c r="H27" s="74" t="s">
        <v>341</v>
      </c>
      <c r="I27" s="72" t="s">
        <v>438</v>
      </c>
    </row>
    <row r="28" spans="1:9" ht="45" customHeight="1" x14ac:dyDescent="0.3">
      <c r="A28" s="3" t="s">
        <v>439</v>
      </c>
      <c r="B28" s="5" t="s">
        <v>440</v>
      </c>
      <c r="C28" s="4" t="s">
        <v>159</v>
      </c>
      <c r="D28" s="5" t="s">
        <v>441</v>
      </c>
      <c r="E28" s="4">
        <v>5</v>
      </c>
      <c r="F28" s="7">
        <v>0</v>
      </c>
      <c r="G28" s="36">
        <v>0</v>
      </c>
      <c r="H28" s="73" t="s">
        <v>442</v>
      </c>
      <c r="I28" s="71" t="s">
        <v>443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8080"/>
  </sheetPr>
  <dimension ref="A1:G16"/>
  <sheetViews>
    <sheetView topLeftCell="A8" workbookViewId="0">
      <selection activeCell="E5" sqref="E5"/>
    </sheetView>
  </sheetViews>
  <sheetFormatPr defaultRowHeight="14.4" x14ac:dyDescent="0.3"/>
  <cols>
    <col min="1" max="1" width="12" customWidth="1"/>
    <col min="2" max="2" width="18" customWidth="1"/>
    <col min="3" max="3" width="22" customWidth="1"/>
    <col min="4" max="4" width="46" customWidth="1"/>
    <col min="5" max="5" width="36" customWidth="1"/>
    <col min="6" max="6" width="12" customWidth="1"/>
    <col min="7" max="7" width="14" customWidth="1"/>
  </cols>
  <sheetData>
    <row r="1" spans="1:7" x14ac:dyDescent="0.3">
      <c r="A1" s="43" t="s">
        <v>444</v>
      </c>
      <c r="B1" s="41"/>
      <c r="C1" s="41"/>
      <c r="D1" s="41"/>
      <c r="E1" s="41"/>
      <c r="F1" s="41"/>
      <c r="G1" s="41"/>
    </row>
    <row r="2" spans="1:7" x14ac:dyDescent="0.3">
      <c r="A2" s="40" t="s">
        <v>445</v>
      </c>
      <c r="B2" s="41"/>
      <c r="C2" s="41"/>
      <c r="D2" s="41"/>
      <c r="E2" s="41"/>
      <c r="F2" s="41"/>
      <c r="G2" s="41"/>
    </row>
    <row r="4" spans="1:7" ht="28.05" customHeight="1" x14ac:dyDescent="0.3">
      <c r="A4" s="37" t="s">
        <v>446</v>
      </c>
      <c r="B4" s="37" t="s">
        <v>15</v>
      </c>
      <c r="C4" s="37" t="s">
        <v>447</v>
      </c>
      <c r="D4" s="37" t="s">
        <v>448</v>
      </c>
      <c r="E4" s="37" t="s">
        <v>449</v>
      </c>
      <c r="F4" s="37" t="s">
        <v>23</v>
      </c>
      <c r="G4" s="37" t="s">
        <v>450</v>
      </c>
    </row>
    <row r="5" spans="1:7" ht="122.4" customHeight="1" x14ac:dyDescent="0.3">
      <c r="A5" s="3" t="s">
        <v>451</v>
      </c>
      <c r="B5" s="33" t="s">
        <v>452</v>
      </c>
      <c r="C5" s="4" t="s">
        <v>453</v>
      </c>
      <c r="D5" s="5" t="s">
        <v>454</v>
      </c>
      <c r="E5" s="71" t="s">
        <v>455</v>
      </c>
      <c r="F5" s="75">
        <v>1</v>
      </c>
      <c r="G5" s="76" t="s">
        <v>64</v>
      </c>
    </row>
    <row r="6" spans="1:7" ht="122.4" customHeight="1" x14ac:dyDescent="0.3">
      <c r="A6" s="11" t="s">
        <v>456</v>
      </c>
      <c r="B6" s="35" t="s">
        <v>457</v>
      </c>
      <c r="C6" s="12" t="s">
        <v>458</v>
      </c>
      <c r="D6" s="13" t="s">
        <v>459</v>
      </c>
      <c r="E6" s="72" t="s">
        <v>460</v>
      </c>
      <c r="F6" s="75">
        <v>1</v>
      </c>
      <c r="G6" s="76" t="s">
        <v>64</v>
      </c>
    </row>
    <row r="7" spans="1:7" ht="122.4" customHeight="1" x14ac:dyDescent="0.3">
      <c r="A7" s="3" t="s">
        <v>461</v>
      </c>
      <c r="B7" s="33" t="s">
        <v>462</v>
      </c>
      <c r="C7" s="4" t="s">
        <v>463</v>
      </c>
      <c r="D7" s="5" t="s">
        <v>464</v>
      </c>
      <c r="E7" s="71" t="s">
        <v>465</v>
      </c>
      <c r="F7" s="75">
        <v>1</v>
      </c>
      <c r="G7" s="76" t="s">
        <v>64</v>
      </c>
    </row>
    <row r="8" spans="1:7" ht="122.4" customHeight="1" x14ac:dyDescent="0.3">
      <c r="A8" s="11" t="s">
        <v>466</v>
      </c>
      <c r="B8" s="35" t="s">
        <v>467</v>
      </c>
      <c r="C8" s="12" t="s">
        <v>468</v>
      </c>
      <c r="D8" s="13" t="s">
        <v>469</v>
      </c>
      <c r="E8" s="72" t="s">
        <v>470</v>
      </c>
      <c r="F8" s="75">
        <v>1</v>
      </c>
      <c r="G8" s="76" t="s">
        <v>64</v>
      </c>
    </row>
    <row r="9" spans="1:7" ht="122.4" customHeight="1" x14ac:dyDescent="0.3">
      <c r="A9" s="3" t="s">
        <v>471</v>
      </c>
      <c r="B9" s="33" t="s">
        <v>472</v>
      </c>
      <c r="C9" s="4" t="s">
        <v>473</v>
      </c>
      <c r="D9" s="5" t="s">
        <v>474</v>
      </c>
      <c r="E9" s="71" t="s">
        <v>475</v>
      </c>
      <c r="F9" s="75">
        <v>1</v>
      </c>
      <c r="G9" s="76" t="s">
        <v>64</v>
      </c>
    </row>
    <row r="12" spans="1:7" x14ac:dyDescent="0.3">
      <c r="B12" s="50" t="s">
        <v>476</v>
      </c>
      <c r="C12" s="41"/>
      <c r="E12" s="50" t="s">
        <v>477</v>
      </c>
      <c r="F12" s="41"/>
    </row>
    <row r="13" spans="1:7" x14ac:dyDescent="0.3">
      <c r="B13" s="40" t="s">
        <v>478</v>
      </c>
      <c r="C13" s="41"/>
      <c r="E13" s="40" t="s">
        <v>478</v>
      </c>
      <c r="F13" s="41"/>
    </row>
    <row r="16" spans="1:7" x14ac:dyDescent="0.3">
      <c r="B16" s="51" t="s">
        <v>479</v>
      </c>
      <c r="C16" s="41"/>
      <c r="E16" s="51" t="s">
        <v>480</v>
      </c>
      <c r="F16" s="41"/>
    </row>
  </sheetData>
  <mergeCells count="8">
    <mergeCell ref="B13:C13"/>
    <mergeCell ref="E12:F12"/>
    <mergeCell ref="B16:C16"/>
    <mergeCell ref="A1:G1"/>
    <mergeCell ref="E16:F16"/>
    <mergeCell ref="A2:G2"/>
    <mergeCell ref="E13:F13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Gantt_Chart_Tong_The</vt:lpstr>
      <vt:lpstr>Theo_Doi_Thanh_Vien</vt:lpstr>
      <vt:lpstr>Tien_Do_Hang_Ngay</vt:lpstr>
      <vt:lpstr>Cot_Moc_5_Tuan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Điền Thạch Quốc</cp:lastModifiedBy>
  <dcterms:created xsi:type="dcterms:W3CDTF">2026-09-11T14:21:55Z</dcterms:created>
  <dcterms:modified xsi:type="dcterms:W3CDTF">2026-09-12T04:55:23Z</dcterms:modified>
</cp:coreProperties>
</file>