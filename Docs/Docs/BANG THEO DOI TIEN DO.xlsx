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iểm thử pm\pj kiểm thử\EcommerceComputer-V3\Docs\"/>
    </mc:Choice>
  </mc:AlternateContent>
  <xr:revisionPtr revIDLastSave="0" documentId="13_ncr:1_{CF1EF52E-E077-49C9-AFEA-49108A195A53}" xr6:coauthVersionLast="47" xr6:coauthVersionMax="47" xr10:uidLastSave="{00000000-0000-0000-0000-000000000000}"/>
  <bookViews>
    <workbookView xWindow="19090" yWindow="-110" windowWidth="19420" windowHeight="10300" firstSheet="2" activeTab="4" xr2:uid="{00000000-000D-0000-FFFF-FFFF00000000}"/>
  </bookViews>
  <sheets>
    <sheet name="Theo_Doi_Tien_Do" sheetId="1" r:id="rId1"/>
    <sheet name="Mau_Theo_Doi_Chuan" sheetId="2" r:id="rId2"/>
    <sheet name="Chi_Tiet_WBS_4_Tuan" sheetId="3" r:id="rId3"/>
    <sheet name="Ma_Tran_RACI_Bao_Cao" sheetId="4" r:id="rId4"/>
    <sheet name="Tieu_Chuan_D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G16" i="1"/>
  <c r="K15" i="1"/>
  <c r="K14" i="1"/>
  <c r="K13" i="1"/>
  <c r="K12" i="1"/>
  <c r="K11" i="1"/>
  <c r="K16" i="1" l="1"/>
</calcChain>
</file>

<file path=xl/sharedStrings.xml><?xml version="1.0" encoding="utf-8"?>
<sst xmlns="http://schemas.openxmlformats.org/spreadsheetml/2006/main" count="642" uniqueCount="333">
  <si>
    <t>BỘ MÔN KIỂM THỬ PHẦN MỀM - BÁO CÁO TIẾN ĐỘ ĐỒ ÁN MÔN HỌC</t>
  </si>
  <si>
    <t>📈 BẢNG THEO DÕI TIẾN ĐỘ THỰC HIỆN CỦA NHÓM (WEEKLY TRACKING SHEET)</t>
  </si>
  <si>
    <t>Dự án: Ecommerce Computer (Store EF) - Phiên bản V3 | Kế hoạch thực hiện: 4 Tuần (14/09/2026 - 09/10/2026)</t>
  </si>
  <si>
    <t>Tham chiếu: Docs/TASK_ASSIGNMENT_5_MEMBERS.md &amp; Docs/CHECKLIST_TESTING_PLAN.md | Ngày lập: 11/09/2026</t>
  </si>
  <si>
    <t>TỔNG SỐ THÀNH VIÊN</t>
  </si>
  <si>
    <t>THỜI LƯỢNG DỰ ÁN</t>
  </si>
  <si>
    <t>TIẾN ĐỘ TOÀN DỰ ÁN</t>
  </si>
  <si>
    <t>KẾT QUẢ ĐÓNG GÓP</t>
  </si>
  <si>
    <t>05 Thành viên</t>
  </si>
  <si>
    <t>4 Cột mốc (4 Tuần)</t>
  </si>
  <si>
    <t>100% (Đạt tiến độ)</t>
  </si>
  <si>
    <t>5/5 Đạt yêu cầu</t>
  </si>
  <si>
    <t>I. TIẾN ĐỘ THỰC HIỆN CỦA 5 THÀNH VIÊN THEO TUẦN</t>
  </si>
  <si>
    <t>STT</t>
  </si>
  <si>
    <t>Mã TV</t>
  </si>
  <si>
    <t>Họ và tên thành viên</t>
  </si>
  <si>
    <t>MSSV</t>
  </si>
  <si>
    <t>Vai trò chuyên trách trong nhóm</t>
  </si>
  <si>
    <t>Nhiệm vụ chính phụ trách</t>
  </si>
  <si>
    <t>Tuần 1
(14/09-18/09)</t>
  </si>
  <si>
    <t>Tuần 2
(21/09-25/09)</t>
  </si>
  <si>
    <t>Tuần 3
(28/09-02/10)</t>
  </si>
  <si>
    <t>Tuần 4
(05/10-09/10)</t>
  </si>
  <si>
    <t>Tiến độ TB
(%)</t>
  </si>
  <si>
    <t>Đánh giá
đóng góp</t>
  </si>
  <si>
    <t>Trạng thái</t>
  </si>
  <si>
    <t>Chữ ký
xác nhận</t>
  </si>
  <si>
    <t>TV01</t>
  </si>
  <si>
    <t>[Họ tên SV 1 - Trưởng nhóm]</t>
  </si>
  <si>
    <t>[MSSV 01]</t>
  </si>
  <si>
    <t>Test Lead / QA Project Manager</t>
  </si>
  <si>
    <t>Test Lead, Chương 1, Tổng hợp, Báo cáo tổng thể</t>
  </si>
  <si>
    <t>Đạt yêu cầu</t>
  </si>
  <si>
    <t>Hoàn thành</t>
  </si>
  <si>
    <t>____________</t>
  </si>
  <si>
    <t>TV02</t>
  </si>
  <si>
    <t>[Họ tên SV 2]</t>
  </si>
  <si>
    <t>[MSSV 02]</t>
  </si>
  <si>
    <t>Manual Tester 1 (Auth &amp; Account Specialist)</t>
  </si>
  <si>
    <t>Manual Tester 1 (Auth, Account, Profile, Admin User)</t>
  </si>
  <si>
    <t>TV03</t>
  </si>
  <si>
    <t>[Họ tên SV 3]</t>
  </si>
  <si>
    <t>[MSSV 03]</t>
  </si>
  <si>
    <t>Manual Tester 2 (Product Catalog Specialist)</t>
  </si>
  <si>
    <t>Manual Tester 2 (Products, Search, Filter, Admin Prod)</t>
  </si>
  <si>
    <t>TV04</t>
  </si>
  <si>
    <t>[Họ tên SV 4]</t>
  </si>
  <si>
    <t>[MSSV 04]</t>
  </si>
  <si>
    <t>Integration &amp; Business Flow Tester</t>
  </si>
  <si>
    <t>Integration &amp; Cart/Order Tester (Giỏ hàng, DB, Triggers)</t>
  </si>
  <si>
    <t>TV05</t>
  </si>
  <si>
    <t>[Họ tên SV 5]</t>
  </si>
  <si>
    <t>[MSSV 05]</t>
  </si>
  <si>
    <t>Automation &amp; Unit Test Engineer</t>
  </si>
  <si>
    <t>Automation &amp; Unit Tester (Chương 3, Selenium IDE, MSTest)</t>
  </si>
  <si>
    <t>TIẾN ĐỘ TRUNG BÌNH TOÀN NHÓM</t>
  </si>
  <si>
    <t>100% ĐẠT</t>
  </si>
  <si>
    <t>ĐẠT TIẾN ĐỘ</t>
  </si>
  <si>
    <t>II. BẢNG THEO DÕI CỘT MỐC NGHIỆM THU THEO TUẦN (MILESTONES)</t>
  </si>
  <si>
    <t>Cột mốc</t>
  </si>
  <si>
    <t>Tuần</t>
  </si>
  <si>
    <t>Thời gian thực hiện</t>
  </si>
  <si>
    <t>Nhiệm vụ trọng tâm các thành viên</t>
  </si>
  <si>
    <t>Kết quả nghiệm thu cột mốc (Deliverables)</t>
  </si>
  <si>
    <t>Tiến độ</t>
  </si>
  <si>
    <t>Đánh giá</t>
  </si>
  <si>
    <t>Cột mốc 1 (M1)</t>
  </si>
  <si>
    <t>Tuần 1</t>
  </si>
  <si>
    <t>14/09/2026 – 18/09/2026</t>
  </si>
  <si>
    <t>• TV01: Họp nhóm, thống nhất phân công, hoàn thiện Chương 1 &amp; Test Plan.
• TV02, TV03, TV04, TV05: Cài đặt Visual Studio, SQL LocalDB, restore Store.sql, test chạy thử web trên port 5000.</t>
  </si>
  <si>
    <t>✔ Biên bản họp phân công nhiệm vụ.
✔ Môi trường kiểm thử trên 5 máy sẵn sàng.
✔ Bản thảo Chương 1 hoàn thành.</t>
  </si>
  <si>
    <t>Cột mốc 2 (M2)</t>
  </si>
  <si>
    <t>Tuần 2</t>
  </si>
  <si>
    <t>21/09/2026 – 25/09/2026</t>
  </si>
  <si>
    <t>• TV02: Soạn mục 2.1 &amp; bộ TC Auth/Account (2.2.1).
• TV03: Bộ TC Sản phẩm/Admin (2.2.2 - 2.2.4).
• TV04: Bộ TC Giỏ hàng/CheckOut &amp; Tích hợp (2.2.2, 2.3).
• TV05: Viết Chương 3 &amp; 5 kịch bản Selenium IDE (.side).
• TV01: Review chéo &amp; chuẩn hóa bảng Test Cases.</t>
  </si>
  <si>
    <t>✔ Bộ Test Cases Specification hoàn chỉnh (90-120 TC).
✔ File kịch bản tự động Selenium IDE (.side).
✔ Bản thảo Chương 2 và Chương 3 hoàn thành.</t>
  </si>
  <si>
    <t>Cột mốc 3 (M3)</t>
  </si>
  <si>
    <t>Tuần 3</t>
  </si>
  <si>
    <t>28/09/2026 – 02/10/2026</t>
  </si>
  <si>
    <t>• TV02, TV03, TV04: Thực thi test Web, ghi nhận Pass/Fail, chụp ảnh minh chứng.
• TV05: Chạy kịch bản tự động Selenium IDE, chạy MSTest &amp; đo Code Coverage (≥70%).
• TV02, TV03, TV04: Lập Defect Report cho 4 bug (DEF-01 -&gt; DEF-04).</t>
  </si>
  <si>
    <t>✔ Bảng kết quả thực thi kiểm thử có đầy đủ ảnh minh chứng.
✔ Báo cáo lỗi chi tiết cho DEF-01, 02, 03, 04.
✔ Bản thảo Chương 4 (mục 4.1, 4.2, 4.3, 4.5.1).</t>
  </si>
  <si>
    <t>Cột mốc 4 (M4)</t>
  </si>
  <si>
    <t>Tuần 4</t>
  </si>
  <si>
    <t>05/10/2026 – 09/10/2026</t>
  </si>
  <si>
    <t>• Cả nhóm: Retest lỗi, họp Bug Review, chạy regression.
• TV05: Hoàn thiện đề xuất sửa code mục 4.5.3.
• TV01: Tổng hợp số liệu thống kê (4.4), vẽ biểu đồ, viết Kết luận &amp; Tài liệu tham khảo.
• TV01: Rà soát chính tả, format tài liệu Word, in ấn và nộp bài.</t>
  </si>
  <si>
    <t>✔ File Báo cáo đồ án Word (.docx) hoàn chỉnh 100%.
✔ Slide thuyết trình PowerPoint.
✔ Thư mục nộp bài đầy đủ (Word, Excel TC, .side, MSTest code).</t>
  </si>
  <si>
    <t>XÁC NHẬN CỦA TRƯỞNG NHÓM</t>
  </si>
  <si>
    <t>XÁC NHẬN CỦA GIẢNG VIÊN HƯỚNG DẪN</t>
  </si>
  <si>
    <t>(Ký và ghi rõ họ tên)</t>
  </si>
  <si>
    <t>TV01: [Họ tên Trưởng nhóm]</t>
  </si>
  <si>
    <t>Giảng viên: ___________________________</t>
  </si>
  <si>
    <t>Dự án: Ecommerce Computer (Store EF) - Phiên bản V3 | Mẫu chuẩn trích từ Docs/TASK_ASSIGNMENT_5_MEMBERS.md</t>
  </si>
  <si>
    <t>Thành viên</t>
  </si>
  <si>
    <t>Đánh giá đóng góp</t>
  </si>
  <si>
    <t>Chữ ký xác nhận</t>
  </si>
  <si>
    <t>TRƯỞNG NHÓM (TEST LEAD)</t>
  </si>
  <si>
    <t>GIẢNG VIÊN HƯỚNG DẪN</t>
  </si>
  <si>
    <t>TV01: ______________________</t>
  </si>
  <si>
    <t>Chữ ký GV: ______________________</t>
  </si>
  <si>
    <t>📋 BẢNG PHÂN RÃ CÔNG VIỆC CHI TIẾT (WBS) &amp; THEO DÕI THEO TUẦN</t>
  </si>
  <si>
    <t>Dự án: Ecommerce Computer (Store EF V3) | Nhóm 5 thành viên | Phân bổ theo 4 giai đoạn thực hiện</t>
  </si>
  <si>
    <t>Mã WBS</t>
  </si>
  <si>
    <t>Họ tên thành viên</t>
  </si>
  <si>
    <t>Vai trò</t>
  </si>
  <si>
    <t>Mục BC</t>
  </si>
  <si>
    <t>Hạng mục công việc chi tiết</t>
  </si>
  <si>
    <t>Sản phẩm bàn giao (Deliverables)</t>
  </si>
  <si>
    <t>Hạn chót</t>
  </si>
  <si>
    <t>WBS 1.1</t>
  </si>
  <si>
    <t>[Họ tên SV 1]</t>
  </si>
  <si>
    <t>Test Lead</t>
  </si>
  <si>
    <t>1.1-1.6</t>
  </si>
  <si>
    <t>Khởi động dự án: lập repo chia sẻ, lịch họp tuần, phân công nhiệm vụ</t>
  </si>
  <si>
    <t>Biên bản họp &amp; Bản phân công</t>
  </si>
  <si>
    <t>18/09/2026</t>
  </si>
  <si>
    <t>WBS 1.2</t>
  </si>
  <si>
    <t>Chương 1</t>
  </si>
  <si>
    <t>Biên soạn Lời mở đầu, Mục 1.1 đến 1.6, Kế hoạch kiểm thử tổng thể</t>
  </si>
  <si>
    <t>Bản thảo Chương 1 Word</t>
  </si>
  <si>
    <t>WBS 1.3</t>
  </si>
  <si>
    <t>Manual Tester 1</t>
  </si>
  <si>
    <t>2.1</t>
  </si>
  <si>
    <t>Cài đặt môi trường Visual Studio, LocalDB; nghiên cứu cơ sở lý thuyết EP, BVA</t>
  </si>
  <si>
    <t>Môi trường sẵn sàng + Đề cương 2.1</t>
  </si>
  <si>
    <t>WBS 1.4</t>
  </si>
  <si>
    <t>Manual Tester 2</t>
  </si>
  <si>
    <t>1.4-1.5</t>
  </si>
  <si>
    <t>Cài đặt môi trường, chạy thử web port 5000, khảo sát CSDL phân hệ Sản phẩm</t>
  </si>
  <si>
    <t>Môi trường sẵn sàng + DB verify</t>
  </si>
  <si>
    <t>WBS 1.5</t>
  </si>
  <si>
    <t>Integration Tester</t>
  </si>
  <si>
    <t>Cài đặt môi trường, khảo sát Triggers, Stored Procedure và CSDL Giỏ hàng</t>
  </si>
  <si>
    <t>Môi trường sẵn sàng + SQL verify</t>
  </si>
  <si>
    <t>WBS 1.6</t>
  </si>
  <si>
    <t>Automation Tester</t>
  </si>
  <si>
    <t>3.1-3.2</t>
  </si>
  <si>
    <t>Cài extension Selenium IDE, setup dự án Store.Tests, kiểm tra kết nối MSTest</t>
  </si>
  <si>
    <t>Môi trường Auto/Unit test sẵn sàng</t>
  </si>
  <si>
    <t>WBS 2.1</t>
  </si>
  <si>
    <t>2.1, 2.2.1</t>
  </si>
  <si>
    <t>Soạn mục 2.1; Viết bộ TC Đăng ký, Đăng nhập, Đăng xuất, Profile, User Admin (25-35 TC)</t>
  </si>
  <si>
    <t>Bảng đặc tả TC Auth &amp; Account</t>
  </si>
  <si>
    <t>25/09/2026</t>
  </si>
  <si>
    <t>WBS 2.2</t>
  </si>
  <si>
    <t>2.2.2-2.2.4</t>
  </si>
  <si>
    <t>Viết bộ TC Duyệt SP, Phân trang, Lọc, Tìm kiếm Regex, Admin CRUD, Review (30-40 TC)</t>
  </si>
  <si>
    <t>Bảng đặc tả TC Sản phẩm &amp; Admin</t>
  </si>
  <si>
    <t>WBS 2.3</t>
  </si>
  <si>
    <t>2.2.2, 2.3</t>
  </si>
  <si>
    <t>Viết bộ TC Giỏ hàng, CheckOut; Viết bộ TC Tích hợp (Triggers, SP AddCart, DbContext)</t>
  </si>
  <si>
    <t>Bảng đặc tả TC Giỏ/Đơn &amp; Tích hợp</t>
  </si>
  <si>
    <t>WBS 2.4</t>
  </si>
  <si>
    <t>Chương 3</t>
  </si>
  <si>
    <t>Soạn lý thuyết Chương 3; Ghi 5 kịch bản tự động Selenium IDE (.side); Soạn test case MSTest</t>
  </si>
  <si>
    <t>Bản thảo Chương 3 + 5 Script .side</t>
  </si>
  <si>
    <t>WBS 2.5</t>
  </si>
  <si>
    <t>Chương 2</t>
  </si>
  <si>
    <t>Review chéo toàn bộ Test Cases, chuẩn hóa mã hiệu TC, dữ liệu đầu vào, kết quả mong đợi</t>
  </si>
  <si>
    <t>Bộ Test Cases chuẩn hóa v1.0</t>
  </si>
  <si>
    <t>WBS 3.1</t>
  </si>
  <si>
    <t>4.1.1, 4.5</t>
  </si>
  <si>
    <t>Thực thi kiểm thử Auth &amp; Account trên Web, chụp ảnh minh chứng; Lập báo cáo lỗi DEF-04</t>
  </si>
  <si>
    <t>Kết quả Pass/Fail + Báo cáo DEF-04</t>
  </si>
  <si>
    <t>02/10/2026</t>
  </si>
  <si>
    <t>WBS 3.2</t>
  </si>
  <si>
    <t>4.1.2-4.1.4</t>
  </si>
  <si>
    <t>Thực thi kiểm thử Sản phẩm/Admin trên Web, chụp ảnh minh chứng; Lập báo cáo lỗi DEF-02</t>
  </si>
  <si>
    <t>Kết quả Pass/Fail + Báo cáo DEF-02</t>
  </si>
  <si>
    <t>WBS 3.3</t>
  </si>
  <si>
    <t>4.1.2, 4.2</t>
  </si>
  <si>
    <t>Thực thi test Giỏ hàng, CheckOut &amp; Tích hợp DB; Lập báo cáo lỗi DEF-01 và DEF-03</t>
  </si>
  <si>
    <t>Kết quả Pass/Fail + Log DEF-01, 03</t>
  </si>
  <si>
    <t>WBS 3.4</t>
  </si>
  <si>
    <t>4.2, 4.3</t>
  </si>
  <si>
    <t>Chạy 5 kịch bản tự động Selenium IDE, đo thời gian; Chạy MSTest và đo Code Coverage (≥70%)</t>
  </si>
  <si>
    <t>Báo cáo Selenium IDE + Unit Test</t>
  </si>
  <si>
    <t>WBS 3.5</t>
  </si>
  <si>
    <t>Chương 4</t>
  </si>
  <si>
    <t>Giám sát tiến độ thực thi của 4 TV; Chuẩn bị khung Chương 4, bảng thống kê lỗi sơ bộ</t>
  </si>
  <si>
    <t>Khung Chương 4 &amp; Tổng hợp v1</t>
  </si>
  <si>
    <t>WBS 4.1</t>
  </si>
  <si>
    <t>Cả nhóm</t>
  </si>
  <si>
    <t>5 Thành viên</t>
  </si>
  <si>
    <t>All Testers</t>
  </si>
  <si>
    <t>4.5</t>
  </si>
  <si>
    <t>Kiểm thử lại (Retest) các lỗi DEF-01 -&gt; DEF-04; Chạy kiểm thử hồi quy (Regression test)</t>
  </si>
  <si>
    <t>Biên bản xác nhận Retest lỗi</t>
  </si>
  <si>
    <t>06/10/2026</t>
  </si>
  <si>
    <t>WBS 4.2</t>
  </si>
  <si>
    <t>4.5.3</t>
  </si>
  <si>
    <t>Viết đề xuất giải pháp kỹ thuật sửa mã nguồn cụ thể (Fix code) cho DEF-01 đến DEF-04</t>
  </si>
  <si>
    <t>Mục 4.5.3 Giải pháp sửa lỗi code</t>
  </si>
  <si>
    <t>07/10/2026</t>
  </si>
  <si>
    <t>WBS 4.3</t>
  </si>
  <si>
    <t>2.4</t>
  </si>
  <si>
    <t>Biên soạn mục 2.4 Kết luận Chương 2 (Tổng hợp số lượng TC đã thiết kế của cả nhóm)</t>
  </si>
  <si>
    <t>Nội dung mục 2.4</t>
  </si>
  <si>
    <t>WBS 4.4</t>
  </si>
  <si>
    <t>4.4, 4.6, KL</t>
  </si>
  <si>
    <t>Tổng hợp số liệu Pass/Fail (4.4), vẽ biểu đồ, viết Kết luận &amp; Tài liệu tham khảo</t>
  </si>
  <si>
    <t>Nội dung 4.4, 4.6, Kết luận, TLTK</t>
  </si>
  <si>
    <t>08/10/2026</t>
  </si>
  <si>
    <t>WBS 4.5</t>
  </si>
  <si>
    <t>Toàn văn</t>
  </si>
  <si>
    <t>Format toàn bộ file Word (lề, font, mục lục tự động, hình/bảng); Làm slide PPT; Đóng gói nộp bài</t>
  </si>
  <si>
    <t>File Word hoàn chỉnh + Slide PPT</t>
  </si>
  <si>
    <t>09/10/2026</t>
  </si>
  <si>
    <t>📊 MA TRẬN PHÂN BỔ KHỐI LƯỢNG THEO ĐỀ CƯƠNG BÁO CÁO (RACI / WBS)</t>
  </si>
  <si>
    <t>Chú thích vai trò: P (Primary) = Phụ trách chính, viết báo cáo &amp; thiết kế | S (Support) = Hỗ trợ, review, kiểm thử chéo</t>
  </si>
  <si>
    <t>Phần mục trong báo cáo</t>
  </si>
  <si>
    <t>Tiêu đề nội dung</t>
  </si>
  <si>
    <t>TV01
(Lead)</t>
  </si>
  <si>
    <t>TV02
(Auth)</t>
  </si>
  <si>
    <t>TV03
(Prod)</t>
  </si>
  <si>
    <t>TV04
(Cart/DB)</t>
  </si>
  <si>
    <t>TV05
(Auto/UT)</t>
  </si>
  <si>
    <t>Ghi chú phân công</t>
  </si>
  <si>
    <t>Bìa &amp; Danh mục</t>
  </si>
  <si>
    <t>Bìa, Mục lục, Danh mục hình/bảng/từ viết tắt</t>
  </si>
  <si>
    <t>P</t>
  </si>
  <si>
    <t>S</t>
  </si>
  <si>
    <t>TV01 format tổng hợp</t>
  </si>
  <si>
    <t>Lời mở đầu</t>
  </si>
  <si>
    <t>Bối cảnh, lý do chọn đề tài, bố cục báo cáo</t>
  </si>
  <si>
    <t>-</t>
  </si>
  <si>
    <t>TV01 viết chính</t>
  </si>
  <si>
    <t>1.1</t>
  </si>
  <si>
    <t>Giới thiệu hệ thống, kiến trúc MVC, ERD, chức năng</t>
  </si>
  <si>
    <t>Cả nhóm đóng góp mô tả module</t>
  </si>
  <si>
    <t>1.2</t>
  </si>
  <si>
    <t>Mục tiêu, phạm vi (In/Out-of-Scope), đối tượng test</t>
  </si>
  <si>
    <t>Xác định ranh giới kiểm thử</t>
  </si>
  <si>
    <t>1.3</t>
  </si>
  <si>
    <t>Chiến lược kiểm thử, RACI, Gantt chart, phân tích rủi ro</t>
  </si>
  <si>
    <t>Kế hoạch quản lý rủi ro</t>
  </si>
  <si>
    <t>1.4 – 1.5</t>
  </si>
  <si>
    <t>Môi trường test, công cụ, tiêu chí Entry/Exit</t>
  </si>
  <si>
    <t>Thiết lập cấu hình 5 máy</t>
  </si>
  <si>
    <t>1.6</t>
  </si>
  <si>
    <t>Kết luận chương 1</t>
  </si>
  <si>
    <t>Tổng kết Chương 1</t>
  </si>
  <si>
    <t>Cơ sở lý thuyết thiết kế test (EP, BVA, Decision Table)</t>
  </si>
  <si>
    <t>TV02 soạn lý thuyết</t>
  </si>
  <si>
    <t>2.2.1</t>
  </si>
  <si>
    <t>Thiết kế Test Case: Khách hàng &amp; Tài khoản</t>
  </si>
  <si>
    <t>25-35 Test Cases</t>
  </si>
  <si>
    <t>2.2.2 (Sản phẩm)</t>
  </si>
  <si>
    <t>Thiết kế Test Case: Danh sách, Lọc, Tìm kiếm, Chi tiết, CRUD</t>
  </si>
  <si>
    <t>30-40 Test Cases</t>
  </si>
  <si>
    <t>2.2.2 (Giỏ &amp; Đơn)</t>
  </si>
  <si>
    <t>Thiết kế Test Case: Giỏ hàng &amp; Thanh toán CheckOut</t>
  </si>
  <si>
    <t>15-20 Test Cases</t>
  </si>
  <si>
    <t>2.2.3 &amp; 2.2.4</t>
  </si>
  <si>
    <t>Thiết kế Test Case: Đánh giá (Reviews), Brand &amp; Category</t>
  </si>
  <si>
    <t>10-15 Test Cases</t>
  </si>
  <si>
    <t>2.3</t>
  </si>
  <si>
    <t>Thiết kế Test Case kiểm thử tích hợp (Triggers, SP, RBAC)</t>
  </si>
  <si>
    <t>10-15 Integration TC</t>
  </si>
  <si>
    <t>Kết luận chương 2</t>
  </si>
  <si>
    <t>Tổng hợp số lượng TC cả nhóm</t>
  </si>
  <si>
    <t>3.1 – 3.2</t>
  </si>
  <si>
    <t>Lý thuyết kiểm thử tự động &amp; Giới thiệu Selenium IDE</t>
  </si>
  <si>
    <t>TV05 biên soạn toàn bộ</t>
  </si>
  <si>
    <t>3.3 – 3.4</t>
  </si>
  <si>
    <t>Tiêu chí chọn TC &amp; Danh sách 5 kịch bản tự động hóa</t>
  </si>
  <si>
    <t>5 kịch bản .side</t>
  </si>
  <si>
    <t>3.5</t>
  </si>
  <si>
    <t>Kết luận chương 3</t>
  </si>
  <si>
    <t>Tổng kết Chương 3</t>
  </si>
  <si>
    <t>4.1.1</t>
  </si>
  <si>
    <t>Thực thi test chức năng: Khách hàng &amp; Tài khoản</t>
  </si>
  <si>
    <t>Chụp ảnh minh chứng web</t>
  </si>
  <si>
    <t>4.1.2 (Sản phẩm)</t>
  </si>
  <si>
    <t>Thực thi test chức năng: Sản phẩm &amp; Quản trị kho</t>
  </si>
  <si>
    <t>4.1.2 (Giỏ &amp; Đơn)</t>
  </si>
  <si>
    <t>Thực thi test chức năng: Giỏ hàng &amp; CheckOut</t>
  </si>
  <si>
    <t>Chụp ảnh web &amp; SQL verify</t>
  </si>
  <si>
    <t>4.1.3 &amp; 4.1.4</t>
  </si>
  <si>
    <t>Thực thi test: Đánh giá, Thương hiệu, Danh mục</t>
  </si>
  <si>
    <t>4.2</t>
  </si>
  <si>
    <t>Thực thi kiểm thử tích hợp &amp; Chạy MSTest Unit Test</t>
  </si>
  <si>
    <t>Unit test Store.Tests + SQL</t>
  </si>
  <si>
    <t>4.3</t>
  </si>
  <si>
    <t>Thực thi kiểm thử tự động Selenium IDE</t>
  </si>
  <si>
    <t>Chạy 5 script .side, đo time</t>
  </si>
  <si>
    <t>4.4</t>
  </si>
  <si>
    <t>Tổng hợp kết quả, thống kê Pass/Fail, độ bao phủ</t>
  </si>
  <si>
    <t>Vẽ biểu đồ hình tròn &amp; cột</t>
  </si>
  <si>
    <t>Lập Defect Report, phân loại mức độ, đề xuất sửa lỗi</t>
  </si>
  <si>
    <t>P (DEF-04)</t>
  </si>
  <si>
    <t>P (DEF-02)</t>
  </si>
  <si>
    <t>P (DEF-01,03)</t>
  </si>
  <si>
    <t>P (Fix code)</t>
  </si>
  <si>
    <t>Báo cáo 4 bug + Code fix</t>
  </si>
  <si>
    <t>4.6</t>
  </si>
  <si>
    <t>Kết luận chương 4</t>
  </si>
  <si>
    <t>Tổng kết kết quả thực thi</t>
  </si>
  <si>
    <t>KẾT LUẬN</t>
  </si>
  <si>
    <t>Đánh giá kết quả đạt được, hạn chế, hướng phát triển</t>
  </si>
  <si>
    <t>Tổng kết toàn bộ đồ án</t>
  </si>
  <si>
    <t>TÀI LIỆU THAM KHẢO</t>
  </si>
  <si>
    <t>Danh mục tài liệu tham khảo theo chuẩn trích dẫn</t>
  </si>
  <si>
    <t>Tài liệu IEEE/APA</t>
  </si>
  <si>
    <t>🎯 TIÊU CHUẨN HOÀN THÀNH CÔNG VIỆC (DEFINITION OF DONE - DOD)</t>
  </si>
  <si>
    <t>Quy định tiêu chuẩn nghiệm thu sản phẩm kiểm thử và báo cáo trước khi bàn giao</t>
  </si>
  <si>
    <t>Hạng mục nghiệm thu</t>
  </si>
  <si>
    <t>Tiêu chuẩn hoàn thành chi tiết (DoD Criteria)</t>
  </si>
  <si>
    <t>Hình thức bàn giao (Deliverables)</t>
  </si>
  <si>
    <t>Người chịu trách nhiệm</t>
  </si>
  <si>
    <t>1. Thiết kế Test Case</t>
  </si>
  <si>
    <t>• Đầy đủ các trường: Test Case ID, Tiêu đề, Tiền điều kiện, Các bước (Steps), Dữ liệu vào (Test Data), Kết quả mong đợi (Expected Result).
• Bao phủ cả trường hợp hợp lệ (Positive) và bất hợp lệ/biên (Negative, Boundary).
• Định dạng chuẩn hóa theo mẫu Excel thống nhất cả nhóm.</t>
  </si>
  <si>
    <t>File Excel Test Case Specification (khoảng 90 - 120 Test Cases)</t>
  </si>
  <si>
    <t>TV02, TV03, TV04 (TV01 review)</t>
  </si>
  <si>
    <t>Đạt chuẩn</t>
  </si>
  <si>
    <t>2. Kết quả Thực thi</t>
  </si>
  <si>
    <t>• Có trạng thái rõ ràng: PASS hoặc FAIL cho 100% các Test Case.
• Bắt buộc có ảnh chụp màn hình minh chứng kèm theo (Giao diện web hoặc kết quả truy vấn SQL).
• Ghi nhận Actual Result trung thực, khách quan.</t>
  </si>
  <si>
    <t>Bảng kết quả Test Execution kèm thư mục ảnh chụp minh chứng</t>
  </si>
  <si>
    <t>TV02, TV03, TV04, TV05</t>
  </si>
  <si>
    <t>3. Báo cáo Lỗi (Defect Report)</t>
  </si>
  <si>
    <t>• Có đầy đủ các bước tái hiện (Steps to Reproduce) rõ ràng, dễ hiểu.
• Phân loại mức độ nghiêm trọng (Severity: S1 -&gt; S4) và độ ưu tiên (Priority).
• Đính kèm ảnh lỗi hoặc log trích xuất từ Logs/dd-MM-yyyy.txt (Serilog).
• Đề xuất giải pháp khắc phục ở mức mã nguồn C# MVC.</t>
  </si>
  <si>
    <t>Defect Report chi tiết cho 4 bug (DEF-01, DEF-02, DEF-03, DEF-04)</t>
  </si>
  <si>
    <t>4. Kiểm thử Tự động (Selenium IDE)</t>
  </si>
  <si>
    <t>• Xây dựng 5 kịch bản tự động đại diện cho các luồng nghiệp vụ cốt lõi.
• Sử dụng đúng Assertions, Verifications để kiểm tra kết quả.
• Xuất file kịch bản định dạng .side lưu trong thư mục dự án.
• Thực thi 100% Pass và chụp ảnh log thực thi có thời gian chạy.</t>
  </si>
  <si>
    <t>File kịch bản .side + Ảnh chụp kết quả chạy thành công</t>
  </si>
  <si>
    <t>TV05 (Automation Engineer)</t>
  </si>
  <si>
    <t>5. Kiểm thử Đơn vị (MSTest)</t>
  </si>
  <si>
    <t>• Tạo dự án Store.Tests kiểm thử các hàm tiện ích nghiệp vụ lõi (ProductExts, Helpers).
• 100% bài test Pass trên Visual Studio Test Explorer.
• Độ bao phủ mã nguồn (Code Coverage) đạt trên 70%.</t>
  </si>
  <si>
    <t>Mã nguồn dự án Store.Tests + Ảnh chụp Code Coverage</t>
  </si>
  <si>
    <t>TV05 (Unit Test Engineer)</t>
  </si>
  <si>
    <t>6. Soạn thảo Báo cáo (Word)</t>
  </si>
  <si>
    <t>• Font chữ chuẩn (Calibri / Times New Roman), cỡ chữ 12-13pt, dãn dòng 1.2 - 1.3 lines.
• Đầy đủ Trang bìa, Bìa phụ, Lời cam đoan, Lời cảm ơn.
• Mục lục tự động, Danh mục hình tự động, Danh mục bảng tự động.
• Bảng biểu và hình ảnh đều có đánh số và chú thích (Caption) chuẩn.</t>
  </si>
  <si>
    <t>File Báo cáo tổng thể Microsoft Word (.docx)</t>
  </si>
  <si>
    <t>TV01 (Lead format tổng)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</si>
</sst>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0"/>
      <color rgb="FF595959"/>
      <name val="Calibri"/>
    </font>
    <font>
      <b/>
      <sz val="14"/>
      <color rgb="FF1F4E79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3"/>
      <color rgb="FF1F4E79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375623"/>
      <name val="Calibri"/>
    </font>
    <font>
      <sz val="10"/>
      <color rgb="FF000000"/>
      <name val="Calibri"/>
    </font>
    <font>
      <b/>
      <sz val="10"/>
      <color rgb="FF1F4E79"/>
      <name val="Calibri"/>
    </font>
    <font>
      <b/>
      <sz val="10"/>
      <color rgb="FF7F6000"/>
      <name val="Calibri"/>
    </font>
    <font>
      <i/>
      <sz val="9"/>
      <color rgb="FF595959"/>
      <name val="Calibri"/>
    </font>
    <font>
      <sz val="10"/>
      <color rgb="FF59595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008080"/>
        <bgColor rgb="FF008080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double">
        <color rgb="FF1F4E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9" fillId="4" borderId="3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8" fillId="0" borderId="0" xfId="0" applyFont="1" applyAlignment="1">
      <alignment horizontal="center" vertical="center" wrapText="1"/>
    </xf>
    <xf numFmtId="0" fontId="0" fillId="0" borderId="0" xfId="0"/>
    <xf numFmtId="0" fontId="7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/>
    <xf numFmtId="0" fontId="3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N30"/>
  <sheetViews>
    <sheetView topLeftCell="A10" workbookViewId="0">
      <selection activeCell="C11" sqref="C11"/>
    </sheetView>
  </sheetViews>
  <sheetFormatPr defaultRowHeight="14.4" x14ac:dyDescent="0.3"/>
  <cols>
    <col min="1" max="1" width="8" customWidth="1"/>
    <col min="2" max="2" width="10" customWidth="1"/>
    <col min="3" max="3" width="24" customWidth="1"/>
    <col min="4" max="4" width="14" customWidth="1"/>
    <col min="5" max="5" width="28" customWidth="1"/>
    <col min="6" max="6" width="34" customWidth="1"/>
    <col min="7" max="10" width="14" customWidth="1"/>
    <col min="11" max="11" width="13" customWidth="1"/>
    <col min="12" max="13" width="15" customWidth="1"/>
    <col min="14" max="14" width="16" customWidth="1"/>
  </cols>
  <sheetData>
    <row r="1" spans="1:14" x14ac:dyDescent="0.3">
      <c r="A1" s="39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3">
      <c r="A2" s="47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3">
      <c r="A3" s="45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x14ac:dyDescent="0.3">
      <c r="A4" s="45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6" spans="1:14" x14ac:dyDescent="0.3">
      <c r="A6" s="42" t="s">
        <v>4</v>
      </c>
      <c r="B6" s="38"/>
      <c r="C6" s="38"/>
      <c r="D6" s="42" t="s">
        <v>5</v>
      </c>
      <c r="E6" s="38"/>
      <c r="F6" s="38"/>
      <c r="G6" s="42" t="s">
        <v>6</v>
      </c>
      <c r="H6" s="38"/>
      <c r="I6" s="38"/>
      <c r="J6" s="38"/>
      <c r="K6" s="42" t="s">
        <v>7</v>
      </c>
      <c r="L6" s="38"/>
      <c r="M6" s="38"/>
      <c r="N6" s="38"/>
    </row>
    <row r="7" spans="1:14" x14ac:dyDescent="0.3">
      <c r="A7" s="37" t="s">
        <v>8</v>
      </c>
      <c r="B7" s="38"/>
      <c r="C7" s="38"/>
      <c r="D7" s="37" t="s">
        <v>9</v>
      </c>
      <c r="E7" s="38"/>
      <c r="F7" s="38"/>
      <c r="G7" s="37" t="s">
        <v>10</v>
      </c>
      <c r="H7" s="38"/>
      <c r="I7" s="38"/>
      <c r="J7" s="38"/>
      <c r="K7" s="37" t="s">
        <v>11</v>
      </c>
      <c r="L7" s="38"/>
      <c r="M7" s="38"/>
      <c r="N7" s="38"/>
    </row>
    <row r="9" spans="1:14" x14ac:dyDescent="0.3">
      <c r="A9" s="1" t="s">
        <v>12</v>
      </c>
    </row>
    <row r="10" spans="1:14" ht="31.95" customHeight="1" x14ac:dyDescent="0.3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</row>
    <row r="11" spans="1:14" ht="28.05" customHeight="1" x14ac:dyDescent="0.3">
      <c r="A11" s="3">
        <v>1</v>
      </c>
      <c r="B11" s="4" t="s">
        <v>27</v>
      </c>
      <c r="C11" s="5" t="s">
        <v>28</v>
      </c>
      <c r="D11" s="3" t="s">
        <v>29</v>
      </c>
      <c r="E11" s="6" t="s">
        <v>30</v>
      </c>
      <c r="F11" s="6" t="s">
        <v>31</v>
      </c>
      <c r="G11" s="7">
        <v>1</v>
      </c>
      <c r="H11" s="7">
        <v>0</v>
      </c>
      <c r="I11" s="7">
        <v>0</v>
      </c>
      <c r="J11" s="7">
        <v>0</v>
      </c>
      <c r="K11" s="8">
        <f>AVERAGE(G11:J11)</f>
        <v>0.25</v>
      </c>
      <c r="L11" s="9" t="s">
        <v>32</v>
      </c>
      <c r="M11" s="4" t="s">
        <v>33</v>
      </c>
      <c r="N11" s="10" t="s">
        <v>34</v>
      </c>
    </row>
    <row r="12" spans="1:14" ht="28.05" customHeight="1" x14ac:dyDescent="0.3">
      <c r="A12" s="11">
        <v>2</v>
      </c>
      <c r="B12" s="12" t="s">
        <v>35</v>
      </c>
      <c r="C12" s="13" t="s">
        <v>36</v>
      </c>
      <c r="D12" s="11" t="s">
        <v>37</v>
      </c>
      <c r="E12" s="14" t="s">
        <v>38</v>
      </c>
      <c r="F12" s="14" t="s">
        <v>39</v>
      </c>
      <c r="G12" s="7">
        <v>1</v>
      </c>
      <c r="H12" s="7">
        <v>0</v>
      </c>
      <c r="I12" s="7">
        <v>0</v>
      </c>
      <c r="J12" s="7">
        <v>0</v>
      </c>
      <c r="K12" s="8">
        <f>AVERAGE(G12:J12)</f>
        <v>0.25</v>
      </c>
      <c r="L12" s="9" t="s">
        <v>32</v>
      </c>
      <c r="M12" s="12" t="s">
        <v>33</v>
      </c>
      <c r="N12" s="15" t="s">
        <v>34</v>
      </c>
    </row>
    <row r="13" spans="1:14" ht="28.05" customHeight="1" x14ac:dyDescent="0.3">
      <c r="A13" s="3">
        <v>3</v>
      </c>
      <c r="B13" s="4" t="s">
        <v>40</v>
      </c>
      <c r="C13" s="5" t="s">
        <v>41</v>
      </c>
      <c r="D13" s="3" t="s">
        <v>42</v>
      </c>
      <c r="E13" s="6" t="s">
        <v>43</v>
      </c>
      <c r="F13" s="6" t="s">
        <v>44</v>
      </c>
      <c r="G13" s="7">
        <v>1</v>
      </c>
      <c r="H13" s="7">
        <v>0</v>
      </c>
      <c r="I13" s="7">
        <v>0</v>
      </c>
      <c r="J13" s="7">
        <v>0</v>
      </c>
      <c r="K13" s="8">
        <f>AVERAGE(G13:J13)</f>
        <v>0.25</v>
      </c>
      <c r="L13" s="9" t="s">
        <v>32</v>
      </c>
      <c r="M13" s="4" t="s">
        <v>33</v>
      </c>
      <c r="N13" s="10" t="s">
        <v>34</v>
      </c>
    </row>
    <row r="14" spans="1:14" ht="28.05" customHeight="1" x14ac:dyDescent="0.3">
      <c r="A14" s="11">
        <v>4</v>
      </c>
      <c r="B14" s="12" t="s">
        <v>45</v>
      </c>
      <c r="C14" s="13" t="s">
        <v>46</v>
      </c>
      <c r="D14" s="11" t="s">
        <v>47</v>
      </c>
      <c r="E14" s="14" t="s">
        <v>48</v>
      </c>
      <c r="F14" s="14" t="s">
        <v>49</v>
      </c>
      <c r="G14" s="7">
        <v>1</v>
      </c>
      <c r="H14" s="7">
        <v>0</v>
      </c>
      <c r="I14" s="7">
        <v>0</v>
      </c>
      <c r="J14" s="7">
        <v>0</v>
      </c>
      <c r="K14" s="8">
        <f>AVERAGE(G14:J14)</f>
        <v>0.25</v>
      </c>
      <c r="L14" s="9" t="s">
        <v>32</v>
      </c>
      <c r="M14" s="12" t="s">
        <v>33</v>
      </c>
      <c r="N14" s="15" t="s">
        <v>34</v>
      </c>
    </row>
    <row r="15" spans="1:14" ht="28.05" customHeight="1" x14ac:dyDescent="0.3">
      <c r="A15" s="3">
        <v>5</v>
      </c>
      <c r="B15" s="4" t="s">
        <v>50</v>
      </c>
      <c r="C15" s="5" t="s">
        <v>51</v>
      </c>
      <c r="D15" s="3" t="s">
        <v>52</v>
      </c>
      <c r="E15" s="6" t="s">
        <v>53</v>
      </c>
      <c r="F15" s="6" t="s">
        <v>54</v>
      </c>
      <c r="G15" s="7">
        <v>1</v>
      </c>
      <c r="H15" s="7">
        <v>0</v>
      </c>
      <c r="I15" s="7">
        <v>0</v>
      </c>
      <c r="J15" s="7">
        <v>0</v>
      </c>
      <c r="K15" s="8">
        <f>AVERAGE(G15:J15)</f>
        <v>0.25</v>
      </c>
      <c r="L15" s="9" t="s">
        <v>32</v>
      </c>
      <c r="M15" s="4" t="s">
        <v>33</v>
      </c>
      <c r="N15" s="10" t="s">
        <v>34</v>
      </c>
    </row>
    <row r="16" spans="1:14" ht="25.95" customHeight="1" x14ac:dyDescent="0.3">
      <c r="A16" s="29" t="s">
        <v>55</v>
      </c>
      <c r="B16" s="30"/>
      <c r="C16" s="30"/>
      <c r="D16" s="30"/>
      <c r="E16" s="30"/>
      <c r="F16" s="30"/>
      <c r="G16" s="16">
        <f>AVERAGE(G11:G15)</f>
        <v>1</v>
      </c>
      <c r="H16" s="7">
        <v>0</v>
      </c>
      <c r="I16" s="7">
        <v>0</v>
      </c>
      <c r="J16" s="7">
        <v>0</v>
      </c>
      <c r="K16" s="16">
        <f>AVERAGE(K11:K15)</f>
        <v>0.25</v>
      </c>
      <c r="L16" s="17" t="s">
        <v>56</v>
      </c>
      <c r="M16" s="18" t="s">
        <v>57</v>
      </c>
      <c r="N16" s="19"/>
    </row>
    <row r="19" spans="1:14" x14ac:dyDescent="0.3">
      <c r="A19" s="1" t="s">
        <v>58</v>
      </c>
    </row>
    <row r="20" spans="1:14" ht="28.05" customHeight="1" x14ac:dyDescent="0.3">
      <c r="A20" s="20" t="s">
        <v>59</v>
      </c>
      <c r="B20" s="20" t="s">
        <v>60</v>
      </c>
      <c r="C20" s="35" t="s">
        <v>61</v>
      </c>
      <c r="D20" s="36"/>
      <c r="E20" s="35" t="s">
        <v>62</v>
      </c>
      <c r="F20" s="36"/>
      <c r="G20" s="36"/>
      <c r="H20" s="36"/>
      <c r="I20" s="35" t="s">
        <v>63</v>
      </c>
      <c r="J20" s="36"/>
      <c r="K20" s="36"/>
      <c r="L20" s="36"/>
      <c r="M20" s="20" t="s">
        <v>64</v>
      </c>
      <c r="N20" s="20" t="s">
        <v>65</v>
      </c>
    </row>
    <row r="21" spans="1:14" ht="54" customHeight="1" x14ac:dyDescent="0.3">
      <c r="A21" s="4" t="s">
        <v>66</v>
      </c>
      <c r="B21" s="3" t="s">
        <v>67</v>
      </c>
      <c r="C21" s="46" t="s">
        <v>68</v>
      </c>
      <c r="D21" s="44"/>
      <c r="E21" s="43" t="s">
        <v>69</v>
      </c>
      <c r="F21" s="44"/>
      <c r="G21" s="44"/>
      <c r="H21" s="44"/>
      <c r="I21" s="43" t="s">
        <v>70</v>
      </c>
      <c r="J21" s="44"/>
      <c r="K21" s="44"/>
      <c r="L21" s="44"/>
      <c r="M21" s="7">
        <v>0</v>
      </c>
      <c r="N21" s="9" t="s">
        <v>33</v>
      </c>
    </row>
    <row r="22" spans="1:14" ht="54" customHeight="1" x14ac:dyDescent="0.3">
      <c r="A22" s="12" t="s">
        <v>71</v>
      </c>
      <c r="B22" s="11" t="s">
        <v>72</v>
      </c>
      <c r="C22" s="31" t="s">
        <v>73</v>
      </c>
      <c r="D22" s="32"/>
      <c r="E22" s="40" t="s">
        <v>74</v>
      </c>
      <c r="F22" s="32"/>
      <c r="G22" s="32"/>
      <c r="H22" s="32"/>
      <c r="I22" s="40" t="s">
        <v>75</v>
      </c>
      <c r="J22" s="32"/>
      <c r="K22" s="32"/>
      <c r="L22" s="32"/>
      <c r="M22" s="7">
        <v>0</v>
      </c>
      <c r="N22" s="9" t="s">
        <v>33</v>
      </c>
    </row>
    <row r="23" spans="1:14" ht="54" customHeight="1" x14ac:dyDescent="0.3">
      <c r="A23" s="4" t="s">
        <v>76</v>
      </c>
      <c r="B23" s="3" t="s">
        <v>77</v>
      </c>
      <c r="C23" s="46" t="s">
        <v>78</v>
      </c>
      <c r="D23" s="44"/>
      <c r="E23" s="43" t="s">
        <v>79</v>
      </c>
      <c r="F23" s="44"/>
      <c r="G23" s="44"/>
      <c r="H23" s="44"/>
      <c r="I23" s="43" t="s">
        <v>80</v>
      </c>
      <c r="J23" s="44"/>
      <c r="K23" s="44"/>
      <c r="L23" s="44"/>
      <c r="M23" s="7">
        <v>0</v>
      </c>
      <c r="N23" s="9" t="s">
        <v>33</v>
      </c>
    </row>
    <row r="24" spans="1:14" ht="54" customHeight="1" x14ac:dyDescent="0.3">
      <c r="A24" s="12" t="s">
        <v>81</v>
      </c>
      <c r="B24" s="11" t="s">
        <v>82</v>
      </c>
      <c r="C24" s="31" t="s">
        <v>83</v>
      </c>
      <c r="D24" s="32"/>
      <c r="E24" s="40" t="s">
        <v>84</v>
      </c>
      <c r="F24" s="32"/>
      <c r="G24" s="32"/>
      <c r="H24" s="32"/>
      <c r="I24" s="40" t="s">
        <v>85</v>
      </c>
      <c r="J24" s="32"/>
      <c r="K24" s="32"/>
      <c r="L24" s="32"/>
      <c r="M24" s="7">
        <v>0</v>
      </c>
      <c r="N24" s="9" t="s">
        <v>33</v>
      </c>
    </row>
    <row r="26" spans="1:14" x14ac:dyDescent="0.3">
      <c r="B26" s="41" t="s">
        <v>86</v>
      </c>
      <c r="C26" s="34"/>
      <c r="D26" s="34"/>
      <c r="E26" s="34"/>
      <c r="J26" s="41" t="s">
        <v>87</v>
      </c>
      <c r="K26" s="34"/>
      <c r="L26" s="34"/>
      <c r="M26" s="34"/>
    </row>
    <row r="27" spans="1:14" x14ac:dyDescent="0.3">
      <c r="B27" s="45" t="s">
        <v>88</v>
      </c>
      <c r="C27" s="34"/>
      <c r="D27" s="34"/>
      <c r="E27" s="34"/>
      <c r="J27" s="45" t="s">
        <v>88</v>
      </c>
      <c r="K27" s="34"/>
      <c r="L27" s="34"/>
      <c r="M27" s="34"/>
    </row>
    <row r="30" spans="1:14" x14ac:dyDescent="0.3">
      <c r="B30" s="33" t="s">
        <v>89</v>
      </c>
      <c r="C30" s="34"/>
      <c r="D30" s="34"/>
      <c r="E30" s="34"/>
      <c r="J30" s="33" t="s">
        <v>90</v>
      </c>
      <c r="K30" s="34"/>
      <c r="L30" s="34"/>
      <c r="M30" s="34"/>
    </row>
  </sheetData>
  <mergeCells count="34">
    <mergeCell ref="A4:N4"/>
    <mergeCell ref="J26:M26"/>
    <mergeCell ref="I21:L21"/>
    <mergeCell ref="A6:C6"/>
    <mergeCell ref="I24:L24"/>
    <mergeCell ref="A7:C7"/>
    <mergeCell ref="D6:F6"/>
    <mergeCell ref="I23:L23"/>
    <mergeCell ref="A1:N1"/>
    <mergeCell ref="E22:H22"/>
    <mergeCell ref="C20:D20"/>
    <mergeCell ref="B26:E26"/>
    <mergeCell ref="K6:N6"/>
    <mergeCell ref="E21:H21"/>
    <mergeCell ref="C22:D22"/>
    <mergeCell ref="E24:H24"/>
    <mergeCell ref="A3:N3"/>
    <mergeCell ref="E23:H23"/>
    <mergeCell ref="C21:D21"/>
    <mergeCell ref="A2:N2"/>
    <mergeCell ref="E20:H20"/>
    <mergeCell ref="G7:J7"/>
    <mergeCell ref="C23:D23"/>
    <mergeCell ref="G6:J6"/>
    <mergeCell ref="A16:F16"/>
    <mergeCell ref="C24:D24"/>
    <mergeCell ref="B30:E30"/>
    <mergeCell ref="I20:L20"/>
    <mergeCell ref="K7:N7"/>
    <mergeCell ref="D7:F7"/>
    <mergeCell ref="B27:E27"/>
    <mergeCell ref="J30:M30"/>
    <mergeCell ref="J27:M27"/>
    <mergeCell ref="I22:L22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I17"/>
  <sheetViews>
    <sheetView workbookViewId="0">
      <selection activeCell="F5" sqref="F5:G5"/>
    </sheetView>
  </sheetViews>
  <sheetFormatPr defaultRowHeight="14.4" x14ac:dyDescent="0.3"/>
  <cols>
    <col min="1" max="1" width="8" customWidth="1"/>
    <col min="2" max="2" width="16" customWidth="1"/>
    <col min="3" max="3" width="52" customWidth="1"/>
    <col min="4" max="7" width="14" customWidth="1"/>
    <col min="8" max="8" width="20" customWidth="1"/>
    <col min="9" max="9" width="18" customWidth="1"/>
  </cols>
  <sheetData>
    <row r="1" spans="1:9" x14ac:dyDescent="0.3">
      <c r="A1" s="47" t="s">
        <v>1</v>
      </c>
      <c r="B1" s="34"/>
      <c r="C1" s="34"/>
      <c r="D1" s="34"/>
      <c r="E1" s="34"/>
      <c r="F1" s="34"/>
      <c r="G1" s="34"/>
      <c r="H1" s="34"/>
      <c r="I1" s="34"/>
    </row>
    <row r="2" spans="1:9" x14ac:dyDescent="0.3">
      <c r="A2" s="45" t="s">
        <v>91</v>
      </c>
      <c r="B2" s="34"/>
      <c r="C2" s="34"/>
      <c r="D2" s="34"/>
      <c r="E2" s="34"/>
      <c r="F2" s="34"/>
      <c r="G2" s="34"/>
      <c r="H2" s="34"/>
      <c r="I2" s="34"/>
    </row>
    <row r="4" spans="1:9" ht="28.05" customHeight="1" x14ac:dyDescent="0.3">
      <c r="A4" s="2" t="s">
        <v>13</v>
      </c>
      <c r="B4" s="2" t="s">
        <v>92</v>
      </c>
      <c r="C4" s="2" t="s">
        <v>18</v>
      </c>
      <c r="D4" s="2" t="s">
        <v>67</v>
      </c>
      <c r="E4" s="2" t="s">
        <v>72</v>
      </c>
      <c r="F4" s="2" t="s">
        <v>77</v>
      </c>
      <c r="G4" s="2" t="s">
        <v>82</v>
      </c>
      <c r="H4" s="2" t="s">
        <v>93</v>
      </c>
      <c r="I4" s="2" t="s">
        <v>94</v>
      </c>
    </row>
    <row r="5" spans="1:9" ht="28.05" customHeight="1" x14ac:dyDescent="0.3">
      <c r="A5" s="4">
        <v>1</v>
      </c>
      <c r="B5" s="4" t="s">
        <v>27</v>
      </c>
      <c r="C5" s="6" t="s">
        <v>31</v>
      </c>
      <c r="D5" s="7">
        <v>1</v>
      </c>
      <c r="E5" s="7">
        <v>0</v>
      </c>
      <c r="F5" s="7">
        <v>0</v>
      </c>
      <c r="G5" s="7">
        <v>0</v>
      </c>
      <c r="H5" s="9" t="s">
        <v>32</v>
      </c>
      <c r="I5" s="10" t="s">
        <v>34</v>
      </c>
    </row>
    <row r="6" spans="1:9" ht="28.05" customHeight="1" x14ac:dyDescent="0.3">
      <c r="A6" s="12">
        <v>2</v>
      </c>
      <c r="B6" s="12" t="s">
        <v>35</v>
      </c>
      <c r="C6" s="14" t="s">
        <v>39</v>
      </c>
      <c r="D6" s="7">
        <v>1</v>
      </c>
      <c r="E6" s="7">
        <v>0</v>
      </c>
      <c r="F6" s="7">
        <v>0</v>
      </c>
      <c r="G6" s="7">
        <v>0</v>
      </c>
      <c r="H6" s="9" t="s">
        <v>32</v>
      </c>
      <c r="I6" s="15" t="s">
        <v>34</v>
      </c>
    </row>
    <row r="7" spans="1:9" ht="28.05" customHeight="1" x14ac:dyDescent="0.3">
      <c r="A7" s="4">
        <v>3</v>
      </c>
      <c r="B7" s="4" t="s">
        <v>40</v>
      </c>
      <c r="C7" s="6" t="s">
        <v>44</v>
      </c>
      <c r="D7" s="7">
        <v>1</v>
      </c>
      <c r="E7" s="7">
        <v>0</v>
      </c>
      <c r="F7" s="7">
        <v>0</v>
      </c>
      <c r="G7" s="7">
        <v>0</v>
      </c>
      <c r="H7" s="9" t="s">
        <v>32</v>
      </c>
      <c r="I7" s="10" t="s">
        <v>34</v>
      </c>
    </row>
    <row r="8" spans="1:9" ht="28.05" customHeight="1" x14ac:dyDescent="0.3">
      <c r="A8" s="12">
        <v>4</v>
      </c>
      <c r="B8" s="12" t="s">
        <v>45</v>
      </c>
      <c r="C8" s="14" t="s">
        <v>49</v>
      </c>
      <c r="D8" s="7">
        <v>1</v>
      </c>
      <c r="E8" s="7">
        <v>0</v>
      </c>
      <c r="F8" s="7">
        <v>0</v>
      </c>
      <c r="G8" s="7">
        <v>0</v>
      </c>
      <c r="H8" s="9" t="s">
        <v>32</v>
      </c>
      <c r="I8" s="15" t="s">
        <v>34</v>
      </c>
    </row>
    <row r="9" spans="1:9" ht="28.05" customHeight="1" x14ac:dyDescent="0.3">
      <c r="A9" s="4">
        <v>5</v>
      </c>
      <c r="B9" s="4" t="s">
        <v>50</v>
      </c>
      <c r="C9" s="6" t="s">
        <v>54</v>
      </c>
      <c r="D9" s="7">
        <v>1</v>
      </c>
      <c r="E9" s="7">
        <v>0</v>
      </c>
      <c r="F9" s="7">
        <v>0</v>
      </c>
      <c r="G9" s="7">
        <v>0</v>
      </c>
      <c r="H9" s="9" t="s">
        <v>32</v>
      </c>
      <c r="I9" s="10" t="s">
        <v>34</v>
      </c>
    </row>
    <row r="10" spans="1:9" ht="25.95" customHeight="1" thickBot="1" x14ac:dyDescent="0.35">
      <c r="A10" s="29" t="s">
        <v>55</v>
      </c>
      <c r="B10" s="30"/>
      <c r="C10" s="30"/>
      <c r="D10" s="16">
        <f>AVERAGE(D5:D9)</f>
        <v>1</v>
      </c>
      <c r="E10" s="7">
        <v>0</v>
      </c>
      <c r="F10" s="7">
        <v>0</v>
      </c>
      <c r="G10" s="7">
        <v>0</v>
      </c>
      <c r="H10" s="17" t="s">
        <v>56</v>
      </c>
      <c r="I10" s="19"/>
    </row>
    <row r="11" spans="1:9" ht="15" thickTop="1" x14ac:dyDescent="0.3"/>
    <row r="13" spans="1:9" x14ac:dyDescent="0.3">
      <c r="B13" s="41" t="s">
        <v>95</v>
      </c>
      <c r="C13" s="34"/>
      <c r="G13" s="41" t="s">
        <v>96</v>
      </c>
      <c r="H13" s="34"/>
      <c r="I13" s="34"/>
    </row>
    <row r="14" spans="1:9" x14ac:dyDescent="0.3">
      <c r="B14" s="45" t="s">
        <v>88</v>
      </c>
      <c r="C14" s="34"/>
      <c r="G14" s="45" t="s">
        <v>88</v>
      </c>
      <c r="H14" s="34"/>
      <c r="I14" s="34"/>
    </row>
    <row r="17" spans="2:9" x14ac:dyDescent="0.3">
      <c r="B17" s="33" t="s">
        <v>97</v>
      </c>
      <c r="C17" s="34"/>
      <c r="G17" s="33" t="s">
        <v>98</v>
      </c>
      <c r="H17" s="34"/>
      <c r="I17" s="34"/>
    </row>
  </sheetData>
  <mergeCells count="9">
    <mergeCell ref="A1:I1"/>
    <mergeCell ref="B14:C14"/>
    <mergeCell ref="G17:I17"/>
    <mergeCell ref="B17:C17"/>
    <mergeCell ref="B13:C13"/>
    <mergeCell ref="A10:C10"/>
    <mergeCell ref="A2:I2"/>
    <mergeCell ref="G14:I14"/>
    <mergeCell ref="G13:I13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K25"/>
  <sheetViews>
    <sheetView topLeftCell="A4" workbookViewId="0">
      <selection activeCell="G5" sqref="G5"/>
    </sheetView>
  </sheetViews>
  <sheetFormatPr defaultRowHeight="14.4" x14ac:dyDescent="0.3"/>
  <cols>
    <col min="1" max="1" width="10" customWidth="1"/>
    <col min="2" max="2" width="9" customWidth="1"/>
    <col min="3" max="3" width="8" customWidth="1"/>
    <col min="4" max="4" width="20" customWidth="1"/>
    <col min="5" max="5" width="24" customWidth="1"/>
    <col min="6" max="6" width="10" customWidth="1"/>
    <col min="7" max="7" width="38" customWidth="1"/>
    <col min="8" max="8" width="32" customWidth="1"/>
    <col min="9" max="9" width="12" customWidth="1"/>
    <col min="10" max="10" width="10" customWidth="1"/>
    <col min="11" max="11" width="14" customWidth="1"/>
  </cols>
  <sheetData>
    <row r="1" spans="1:11" x14ac:dyDescent="0.3">
      <c r="A1" s="47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">
      <c r="A2" s="45" t="s">
        <v>100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ht="28.05" customHeight="1" x14ac:dyDescent="0.3">
      <c r="A4" s="2" t="s">
        <v>101</v>
      </c>
      <c r="B4" s="2" t="s">
        <v>60</v>
      </c>
      <c r="C4" s="2" t="s">
        <v>14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64</v>
      </c>
      <c r="K4" s="2" t="s">
        <v>25</v>
      </c>
    </row>
    <row r="5" spans="1:11" ht="24" customHeight="1" x14ac:dyDescent="0.3">
      <c r="A5" s="4" t="s">
        <v>108</v>
      </c>
      <c r="B5" s="3" t="s">
        <v>67</v>
      </c>
      <c r="C5" s="4" t="s">
        <v>27</v>
      </c>
      <c r="D5" s="6" t="s">
        <v>109</v>
      </c>
      <c r="E5" s="6" t="s">
        <v>110</v>
      </c>
      <c r="F5" s="3" t="s">
        <v>111</v>
      </c>
      <c r="G5" s="6" t="s">
        <v>112</v>
      </c>
      <c r="H5" s="6" t="s">
        <v>113</v>
      </c>
      <c r="I5" s="3" t="s">
        <v>114</v>
      </c>
      <c r="J5" s="7">
        <v>0</v>
      </c>
      <c r="K5" s="21" t="s">
        <v>33</v>
      </c>
    </row>
    <row r="6" spans="1:11" ht="24" customHeight="1" x14ac:dyDescent="0.3">
      <c r="A6" s="12" t="s">
        <v>115</v>
      </c>
      <c r="B6" s="11" t="s">
        <v>67</v>
      </c>
      <c r="C6" s="12" t="s">
        <v>27</v>
      </c>
      <c r="D6" s="14" t="s">
        <v>109</v>
      </c>
      <c r="E6" s="14" t="s">
        <v>110</v>
      </c>
      <c r="F6" s="11" t="s">
        <v>116</v>
      </c>
      <c r="G6" s="14" t="s">
        <v>117</v>
      </c>
      <c r="H6" s="14" t="s">
        <v>118</v>
      </c>
      <c r="I6" s="11" t="s">
        <v>114</v>
      </c>
      <c r="J6" s="7">
        <v>0</v>
      </c>
      <c r="K6" s="21" t="s">
        <v>33</v>
      </c>
    </row>
    <row r="7" spans="1:11" ht="24" customHeight="1" x14ac:dyDescent="0.3">
      <c r="A7" s="4" t="s">
        <v>119</v>
      </c>
      <c r="B7" s="3" t="s">
        <v>67</v>
      </c>
      <c r="C7" s="4" t="s">
        <v>35</v>
      </c>
      <c r="D7" s="6" t="s">
        <v>36</v>
      </c>
      <c r="E7" s="6" t="s">
        <v>120</v>
      </c>
      <c r="F7" s="3" t="s">
        <v>121</v>
      </c>
      <c r="G7" s="6" t="s">
        <v>122</v>
      </c>
      <c r="H7" s="6" t="s">
        <v>123</v>
      </c>
      <c r="I7" s="3" t="s">
        <v>114</v>
      </c>
      <c r="J7" s="7">
        <v>0</v>
      </c>
      <c r="K7" s="21" t="s">
        <v>33</v>
      </c>
    </row>
    <row r="8" spans="1:11" ht="24" customHeight="1" x14ac:dyDescent="0.3">
      <c r="A8" s="12" t="s">
        <v>124</v>
      </c>
      <c r="B8" s="11" t="s">
        <v>67</v>
      </c>
      <c r="C8" s="12" t="s">
        <v>40</v>
      </c>
      <c r="D8" s="14" t="s">
        <v>41</v>
      </c>
      <c r="E8" s="14" t="s">
        <v>125</v>
      </c>
      <c r="F8" s="11" t="s">
        <v>126</v>
      </c>
      <c r="G8" s="14" t="s">
        <v>127</v>
      </c>
      <c r="H8" s="14" t="s">
        <v>128</v>
      </c>
      <c r="I8" s="11" t="s">
        <v>114</v>
      </c>
      <c r="J8" s="7">
        <v>0</v>
      </c>
      <c r="K8" s="21" t="s">
        <v>33</v>
      </c>
    </row>
    <row r="9" spans="1:11" ht="24" customHeight="1" x14ac:dyDescent="0.3">
      <c r="A9" s="4" t="s">
        <v>129</v>
      </c>
      <c r="B9" s="3" t="s">
        <v>67</v>
      </c>
      <c r="C9" s="4" t="s">
        <v>45</v>
      </c>
      <c r="D9" s="6" t="s">
        <v>46</v>
      </c>
      <c r="E9" s="6" t="s">
        <v>130</v>
      </c>
      <c r="F9" s="3" t="s">
        <v>126</v>
      </c>
      <c r="G9" s="6" t="s">
        <v>131</v>
      </c>
      <c r="H9" s="6" t="s">
        <v>132</v>
      </c>
      <c r="I9" s="3" t="s">
        <v>114</v>
      </c>
      <c r="J9" s="7">
        <v>0</v>
      </c>
      <c r="K9" s="21" t="s">
        <v>33</v>
      </c>
    </row>
    <row r="10" spans="1:11" ht="24" customHeight="1" x14ac:dyDescent="0.3">
      <c r="A10" s="12" t="s">
        <v>133</v>
      </c>
      <c r="B10" s="11" t="s">
        <v>67</v>
      </c>
      <c r="C10" s="12" t="s">
        <v>50</v>
      </c>
      <c r="D10" s="14" t="s">
        <v>51</v>
      </c>
      <c r="E10" s="14" t="s">
        <v>134</v>
      </c>
      <c r="F10" s="11" t="s">
        <v>135</v>
      </c>
      <c r="G10" s="14" t="s">
        <v>136</v>
      </c>
      <c r="H10" s="14" t="s">
        <v>137</v>
      </c>
      <c r="I10" s="11" t="s">
        <v>114</v>
      </c>
      <c r="J10" s="7">
        <v>0</v>
      </c>
      <c r="K10" s="21" t="s">
        <v>33</v>
      </c>
    </row>
    <row r="11" spans="1:11" ht="24" customHeight="1" x14ac:dyDescent="0.3">
      <c r="A11" s="4" t="s">
        <v>138</v>
      </c>
      <c r="B11" s="3" t="s">
        <v>72</v>
      </c>
      <c r="C11" s="4" t="s">
        <v>35</v>
      </c>
      <c r="D11" s="6" t="s">
        <v>36</v>
      </c>
      <c r="E11" s="6" t="s">
        <v>120</v>
      </c>
      <c r="F11" s="3" t="s">
        <v>139</v>
      </c>
      <c r="G11" s="6" t="s">
        <v>140</v>
      </c>
      <c r="H11" s="6" t="s">
        <v>141</v>
      </c>
      <c r="I11" s="3" t="s">
        <v>142</v>
      </c>
      <c r="J11" s="7">
        <v>0</v>
      </c>
      <c r="K11" s="21" t="s">
        <v>33</v>
      </c>
    </row>
    <row r="12" spans="1:11" ht="24" customHeight="1" x14ac:dyDescent="0.3">
      <c r="A12" s="12" t="s">
        <v>143</v>
      </c>
      <c r="B12" s="11" t="s">
        <v>72</v>
      </c>
      <c r="C12" s="12" t="s">
        <v>40</v>
      </c>
      <c r="D12" s="14" t="s">
        <v>41</v>
      </c>
      <c r="E12" s="14" t="s">
        <v>125</v>
      </c>
      <c r="F12" s="11" t="s">
        <v>144</v>
      </c>
      <c r="G12" s="14" t="s">
        <v>145</v>
      </c>
      <c r="H12" s="14" t="s">
        <v>146</v>
      </c>
      <c r="I12" s="11" t="s">
        <v>142</v>
      </c>
      <c r="J12" s="7">
        <v>0</v>
      </c>
      <c r="K12" s="21" t="s">
        <v>33</v>
      </c>
    </row>
    <row r="13" spans="1:11" ht="24" customHeight="1" x14ac:dyDescent="0.3">
      <c r="A13" s="4" t="s">
        <v>147</v>
      </c>
      <c r="B13" s="3" t="s">
        <v>72</v>
      </c>
      <c r="C13" s="4" t="s">
        <v>45</v>
      </c>
      <c r="D13" s="6" t="s">
        <v>46</v>
      </c>
      <c r="E13" s="6" t="s">
        <v>130</v>
      </c>
      <c r="F13" s="3" t="s">
        <v>148</v>
      </c>
      <c r="G13" s="6" t="s">
        <v>149</v>
      </c>
      <c r="H13" s="6" t="s">
        <v>150</v>
      </c>
      <c r="I13" s="3" t="s">
        <v>142</v>
      </c>
      <c r="J13" s="7">
        <v>0</v>
      </c>
      <c r="K13" s="21" t="s">
        <v>33</v>
      </c>
    </row>
    <row r="14" spans="1:11" ht="24" customHeight="1" x14ac:dyDescent="0.3">
      <c r="A14" s="12" t="s">
        <v>151</v>
      </c>
      <c r="B14" s="11" t="s">
        <v>72</v>
      </c>
      <c r="C14" s="12" t="s">
        <v>50</v>
      </c>
      <c r="D14" s="14" t="s">
        <v>51</v>
      </c>
      <c r="E14" s="14" t="s">
        <v>134</v>
      </c>
      <c r="F14" s="11" t="s">
        <v>152</v>
      </c>
      <c r="G14" s="14" t="s">
        <v>153</v>
      </c>
      <c r="H14" s="14" t="s">
        <v>154</v>
      </c>
      <c r="I14" s="11" t="s">
        <v>142</v>
      </c>
      <c r="J14" s="7">
        <v>0</v>
      </c>
      <c r="K14" s="21" t="s">
        <v>33</v>
      </c>
    </row>
    <row r="15" spans="1:11" ht="24" customHeight="1" x14ac:dyDescent="0.3">
      <c r="A15" s="4" t="s">
        <v>155</v>
      </c>
      <c r="B15" s="3" t="s">
        <v>72</v>
      </c>
      <c r="C15" s="4" t="s">
        <v>27</v>
      </c>
      <c r="D15" s="6" t="s">
        <v>109</v>
      </c>
      <c r="E15" s="6" t="s">
        <v>110</v>
      </c>
      <c r="F15" s="3" t="s">
        <v>156</v>
      </c>
      <c r="G15" s="6" t="s">
        <v>157</v>
      </c>
      <c r="H15" s="6" t="s">
        <v>158</v>
      </c>
      <c r="I15" s="3" t="s">
        <v>142</v>
      </c>
      <c r="J15" s="7">
        <v>0</v>
      </c>
      <c r="K15" s="21" t="s">
        <v>33</v>
      </c>
    </row>
    <row r="16" spans="1:11" ht="24" customHeight="1" x14ac:dyDescent="0.3">
      <c r="A16" s="12" t="s">
        <v>159</v>
      </c>
      <c r="B16" s="11" t="s">
        <v>77</v>
      </c>
      <c r="C16" s="12" t="s">
        <v>35</v>
      </c>
      <c r="D16" s="14" t="s">
        <v>36</v>
      </c>
      <c r="E16" s="14" t="s">
        <v>120</v>
      </c>
      <c r="F16" s="11" t="s">
        <v>160</v>
      </c>
      <c r="G16" s="14" t="s">
        <v>161</v>
      </c>
      <c r="H16" s="14" t="s">
        <v>162</v>
      </c>
      <c r="I16" s="11" t="s">
        <v>163</v>
      </c>
      <c r="J16" s="7">
        <v>0</v>
      </c>
      <c r="K16" s="21" t="s">
        <v>33</v>
      </c>
    </row>
    <row r="17" spans="1:11" ht="24" customHeight="1" x14ac:dyDescent="0.3">
      <c r="A17" s="4" t="s">
        <v>164</v>
      </c>
      <c r="B17" s="3" t="s">
        <v>77</v>
      </c>
      <c r="C17" s="4" t="s">
        <v>40</v>
      </c>
      <c r="D17" s="6" t="s">
        <v>41</v>
      </c>
      <c r="E17" s="6" t="s">
        <v>125</v>
      </c>
      <c r="F17" s="3" t="s">
        <v>165</v>
      </c>
      <c r="G17" s="6" t="s">
        <v>166</v>
      </c>
      <c r="H17" s="6" t="s">
        <v>167</v>
      </c>
      <c r="I17" s="3" t="s">
        <v>163</v>
      </c>
      <c r="J17" s="7">
        <v>0</v>
      </c>
      <c r="K17" s="21" t="s">
        <v>33</v>
      </c>
    </row>
    <row r="18" spans="1:11" ht="24" customHeight="1" x14ac:dyDescent="0.3">
      <c r="A18" s="12" t="s">
        <v>168</v>
      </c>
      <c r="B18" s="11" t="s">
        <v>77</v>
      </c>
      <c r="C18" s="12" t="s">
        <v>45</v>
      </c>
      <c r="D18" s="14" t="s">
        <v>46</v>
      </c>
      <c r="E18" s="14" t="s">
        <v>130</v>
      </c>
      <c r="F18" s="11" t="s">
        <v>169</v>
      </c>
      <c r="G18" s="14" t="s">
        <v>170</v>
      </c>
      <c r="H18" s="14" t="s">
        <v>171</v>
      </c>
      <c r="I18" s="11" t="s">
        <v>163</v>
      </c>
      <c r="J18" s="7">
        <v>0</v>
      </c>
      <c r="K18" s="21" t="s">
        <v>33</v>
      </c>
    </row>
    <row r="19" spans="1:11" ht="24" customHeight="1" x14ac:dyDescent="0.3">
      <c r="A19" s="4" t="s">
        <v>172</v>
      </c>
      <c r="B19" s="3" t="s">
        <v>77</v>
      </c>
      <c r="C19" s="4" t="s">
        <v>50</v>
      </c>
      <c r="D19" s="6" t="s">
        <v>51</v>
      </c>
      <c r="E19" s="6" t="s">
        <v>134</v>
      </c>
      <c r="F19" s="3" t="s">
        <v>173</v>
      </c>
      <c r="G19" s="6" t="s">
        <v>174</v>
      </c>
      <c r="H19" s="6" t="s">
        <v>175</v>
      </c>
      <c r="I19" s="3" t="s">
        <v>163</v>
      </c>
      <c r="J19" s="7">
        <v>0</v>
      </c>
      <c r="K19" s="21" t="s">
        <v>33</v>
      </c>
    </row>
    <row r="20" spans="1:11" ht="24" customHeight="1" x14ac:dyDescent="0.3">
      <c r="A20" s="12" t="s">
        <v>176</v>
      </c>
      <c r="B20" s="11" t="s">
        <v>77</v>
      </c>
      <c r="C20" s="12" t="s">
        <v>27</v>
      </c>
      <c r="D20" s="14" t="s">
        <v>109</v>
      </c>
      <c r="E20" s="14" t="s">
        <v>110</v>
      </c>
      <c r="F20" s="11" t="s">
        <v>177</v>
      </c>
      <c r="G20" s="14" t="s">
        <v>178</v>
      </c>
      <c r="H20" s="14" t="s">
        <v>179</v>
      </c>
      <c r="I20" s="11" t="s">
        <v>163</v>
      </c>
      <c r="J20" s="7">
        <v>0</v>
      </c>
      <c r="K20" s="21" t="s">
        <v>33</v>
      </c>
    </row>
    <row r="21" spans="1:11" ht="24" customHeight="1" x14ac:dyDescent="0.3">
      <c r="A21" s="4" t="s">
        <v>180</v>
      </c>
      <c r="B21" s="3" t="s">
        <v>82</v>
      </c>
      <c r="C21" s="4" t="s">
        <v>181</v>
      </c>
      <c r="D21" s="6" t="s">
        <v>182</v>
      </c>
      <c r="E21" s="6" t="s">
        <v>183</v>
      </c>
      <c r="F21" s="3" t="s">
        <v>184</v>
      </c>
      <c r="G21" s="6" t="s">
        <v>185</v>
      </c>
      <c r="H21" s="6" t="s">
        <v>186</v>
      </c>
      <c r="I21" s="3" t="s">
        <v>187</v>
      </c>
      <c r="J21" s="7">
        <v>0</v>
      </c>
      <c r="K21" s="21" t="s">
        <v>33</v>
      </c>
    </row>
    <row r="22" spans="1:11" ht="24" customHeight="1" x14ac:dyDescent="0.3">
      <c r="A22" s="12" t="s">
        <v>188</v>
      </c>
      <c r="B22" s="11" t="s">
        <v>82</v>
      </c>
      <c r="C22" s="12" t="s">
        <v>50</v>
      </c>
      <c r="D22" s="14" t="s">
        <v>51</v>
      </c>
      <c r="E22" s="14" t="s">
        <v>134</v>
      </c>
      <c r="F22" s="11" t="s">
        <v>189</v>
      </c>
      <c r="G22" s="14" t="s">
        <v>190</v>
      </c>
      <c r="H22" s="14" t="s">
        <v>191</v>
      </c>
      <c r="I22" s="11" t="s">
        <v>192</v>
      </c>
      <c r="J22" s="7">
        <v>0</v>
      </c>
      <c r="K22" s="21" t="s">
        <v>33</v>
      </c>
    </row>
    <row r="23" spans="1:11" ht="24" customHeight="1" x14ac:dyDescent="0.3">
      <c r="A23" s="4" t="s">
        <v>193</v>
      </c>
      <c r="B23" s="3" t="s">
        <v>82</v>
      </c>
      <c r="C23" s="4" t="s">
        <v>40</v>
      </c>
      <c r="D23" s="6" t="s">
        <v>41</v>
      </c>
      <c r="E23" s="6" t="s">
        <v>125</v>
      </c>
      <c r="F23" s="3" t="s">
        <v>194</v>
      </c>
      <c r="G23" s="6" t="s">
        <v>195</v>
      </c>
      <c r="H23" s="6" t="s">
        <v>196</v>
      </c>
      <c r="I23" s="3" t="s">
        <v>192</v>
      </c>
      <c r="J23" s="7">
        <v>0</v>
      </c>
      <c r="K23" s="21" t="s">
        <v>33</v>
      </c>
    </row>
    <row r="24" spans="1:11" ht="24" customHeight="1" x14ac:dyDescent="0.3">
      <c r="A24" s="12" t="s">
        <v>197</v>
      </c>
      <c r="B24" s="11" t="s">
        <v>82</v>
      </c>
      <c r="C24" s="12" t="s">
        <v>27</v>
      </c>
      <c r="D24" s="14" t="s">
        <v>109</v>
      </c>
      <c r="E24" s="14" t="s">
        <v>110</v>
      </c>
      <c r="F24" s="11" t="s">
        <v>198</v>
      </c>
      <c r="G24" s="14" t="s">
        <v>199</v>
      </c>
      <c r="H24" s="14" t="s">
        <v>200</v>
      </c>
      <c r="I24" s="11" t="s">
        <v>201</v>
      </c>
      <c r="J24" s="7">
        <v>0</v>
      </c>
      <c r="K24" s="21" t="s">
        <v>33</v>
      </c>
    </row>
    <row r="25" spans="1:11" ht="24" customHeight="1" x14ac:dyDescent="0.3">
      <c r="A25" s="4" t="s">
        <v>202</v>
      </c>
      <c r="B25" s="3" t="s">
        <v>82</v>
      </c>
      <c r="C25" s="4" t="s">
        <v>27</v>
      </c>
      <c r="D25" s="6" t="s">
        <v>109</v>
      </c>
      <c r="E25" s="6" t="s">
        <v>110</v>
      </c>
      <c r="F25" s="3" t="s">
        <v>203</v>
      </c>
      <c r="G25" s="6" t="s">
        <v>204</v>
      </c>
      <c r="H25" s="6" t="s">
        <v>205</v>
      </c>
      <c r="I25" s="3" t="s">
        <v>206</v>
      </c>
      <c r="J25" s="7">
        <v>0</v>
      </c>
      <c r="K25" s="21" t="s">
        <v>33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32"/>
  <sheetViews>
    <sheetView topLeftCell="A15" workbookViewId="0">
      <selection sqref="A1:H1"/>
    </sheetView>
  </sheetViews>
  <sheetFormatPr defaultRowHeight="14.4" x14ac:dyDescent="0.3"/>
  <cols>
    <col min="1" max="1" width="18" customWidth="1"/>
    <col min="2" max="2" width="46" customWidth="1"/>
    <col min="3" max="7" width="13" customWidth="1"/>
    <col min="8" max="8" width="26" customWidth="1"/>
  </cols>
  <sheetData>
    <row r="1" spans="1:8" x14ac:dyDescent="0.3">
      <c r="A1" s="47" t="s">
        <v>207</v>
      </c>
      <c r="B1" s="34"/>
      <c r="C1" s="34"/>
      <c r="D1" s="34"/>
      <c r="E1" s="34"/>
      <c r="F1" s="34"/>
      <c r="G1" s="34"/>
      <c r="H1" s="34"/>
    </row>
    <row r="2" spans="1:8" x14ac:dyDescent="0.3">
      <c r="A2" s="45" t="s">
        <v>208</v>
      </c>
      <c r="B2" s="34"/>
      <c r="C2" s="34"/>
      <c r="D2" s="34"/>
      <c r="E2" s="34"/>
      <c r="F2" s="34"/>
      <c r="G2" s="34"/>
      <c r="H2" s="34"/>
    </row>
    <row r="4" spans="1:8" ht="28.05" customHeight="1" x14ac:dyDescent="0.3">
      <c r="A4" s="2" t="s">
        <v>209</v>
      </c>
      <c r="B4" s="2" t="s">
        <v>210</v>
      </c>
      <c r="C4" s="2" t="s">
        <v>211</v>
      </c>
      <c r="D4" s="2" t="s">
        <v>212</v>
      </c>
      <c r="E4" s="2" t="s">
        <v>213</v>
      </c>
      <c r="F4" s="2" t="s">
        <v>214</v>
      </c>
      <c r="G4" s="2" t="s">
        <v>215</v>
      </c>
      <c r="H4" s="2" t="s">
        <v>216</v>
      </c>
    </row>
    <row r="5" spans="1:8" ht="22.05" customHeight="1" x14ac:dyDescent="0.3">
      <c r="A5" s="4" t="s">
        <v>217</v>
      </c>
      <c r="B5" s="6" t="s">
        <v>218</v>
      </c>
      <c r="C5" s="22" t="s">
        <v>219</v>
      </c>
      <c r="D5" s="23" t="s">
        <v>220</v>
      </c>
      <c r="E5" s="23" t="s">
        <v>220</v>
      </c>
      <c r="F5" s="23" t="s">
        <v>220</v>
      </c>
      <c r="G5" s="23" t="s">
        <v>220</v>
      </c>
      <c r="H5" s="24" t="s">
        <v>221</v>
      </c>
    </row>
    <row r="6" spans="1:8" ht="22.05" customHeight="1" x14ac:dyDescent="0.3">
      <c r="A6" s="12" t="s">
        <v>222</v>
      </c>
      <c r="B6" s="14" t="s">
        <v>223</v>
      </c>
      <c r="C6" s="22" t="s">
        <v>219</v>
      </c>
      <c r="D6" s="23" t="s">
        <v>220</v>
      </c>
      <c r="E6" s="25" t="s">
        <v>224</v>
      </c>
      <c r="F6" s="25" t="s">
        <v>224</v>
      </c>
      <c r="G6" s="25" t="s">
        <v>224</v>
      </c>
      <c r="H6" s="26" t="s">
        <v>225</v>
      </c>
    </row>
    <row r="7" spans="1:8" ht="22.05" customHeight="1" x14ac:dyDescent="0.3">
      <c r="A7" s="4" t="s">
        <v>226</v>
      </c>
      <c r="B7" s="6" t="s">
        <v>227</v>
      </c>
      <c r="C7" s="22" t="s">
        <v>219</v>
      </c>
      <c r="D7" s="23" t="s">
        <v>220</v>
      </c>
      <c r="E7" s="23" t="s">
        <v>220</v>
      </c>
      <c r="F7" s="23" t="s">
        <v>220</v>
      </c>
      <c r="G7" s="27" t="s">
        <v>224</v>
      </c>
      <c r="H7" s="24" t="s">
        <v>228</v>
      </c>
    </row>
    <row r="8" spans="1:8" ht="22.05" customHeight="1" x14ac:dyDescent="0.3">
      <c r="A8" s="12" t="s">
        <v>229</v>
      </c>
      <c r="B8" s="14" t="s">
        <v>230</v>
      </c>
      <c r="C8" s="22" t="s">
        <v>219</v>
      </c>
      <c r="D8" s="23" t="s">
        <v>220</v>
      </c>
      <c r="E8" s="25" t="s">
        <v>224</v>
      </c>
      <c r="F8" s="25" t="s">
        <v>224</v>
      </c>
      <c r="G8" s="23" t="s">
        <v>220</v>
      </c>
      <c r="H8" s="26" t="s">
        <v>231</v>
      </c>
    </row>
    <row r="9" spans="1:8" ht="22.05" customHeight="1" x14ac:dyDescent="0.3">
      <c r="A9" s="4" t="s">
        <v>232</v>
      </c>
      <c r="B9" s="6" t="s">
        <v>233</v>
      </c>
      <c r="C9" s="22" t="s">
        <v>219</v>
      </c>
      <c r="D9" s="27" t="s">
        <v>224</v>
      </c>
      <c r="E9" s="27" t="s">
        <v>224</v>
      </c>
      <c r="F9" s="23" t="s">
        <v>220</v>
      </c>
      <c r="G9" s="23" t="s">
        <v>220</v>
      </c>
      <c r="H9" s="24" t="s">
        <v>234</v>
      </c>
    </row>
    <row r="10" spans="1:8" ht="22.05" customHeight="1" x14ac:dyDescent="0.3">
      <c r="A10" s="12" t="s">
        <v>235</v>
      </c>
      <c r="B10" s="14" t="s">
        <v>236</v>
      </c>
      <c r="C10" s="22" t="s">
        <v>219</v>
      </c>
      <c r="D10" s="23" t="s">
        <v>220</v>
      </c>
      <c r="E10" s="23" t="s">
        <v>220</v>
      </c>
      <c r="F10" s="23" t="s">
        <v>220</v>
      </c>
      <c r="G10" s="23" t="s">
        <v>220</v>
      </c>
      <c r="H10" s="26" t="s">
        <v>237</v>
      </c>
    </row>
    <row r="11" spans="1:8" ht="22.05" customHeight="1" x14ac:dyDescent="0.3">
      <c r="A11" s="4" t="s">
        <v>238</v>
      </c>
      <c r="B11" s="6" t="s">
        <v>239</v>
      </c>
      <c r="C11" s="22" t="s">
        <v>219</v>
      </c>
      <c r="D11" s="27" t="s">
        <v>224</v>
      </c>
      <c r="E11" s="27" t="s">
        <v>224</v>
      </c>
      <c r="F11" s="27" t="s">
        <v>224</v>
      </c>
      <c r="G11" s="27" t="s">
        <v>224</v>
      </c>
      <c r="H11" s="24" t="s">
        <v>240</v>
      </c>
    </row>
    <row r="12" spans="1:8" ht="22.05" customHeight="1" x14ac:dyDescent="0.3">
      <c r="A12" s="12" t="s">
        <v>121</v>
      </c>
      <c r="B12" s="14" t="s">
        <v>241</v>
      </c>
      <c r="C12" s="23" t="s">
        <v>220</v>
      </c>
      <c r="D12" s="22" t="s">
        <v>219</v>
      </c>
      <c r="E12" s="23" t="s">
        <v>220</v>
      </c>
      <c r="F12" s="25" t="s">
        <v>224</v>
      </c>
      <c r="G12" s="25" t="s">
        <v>224</v>
      </c>
      <c r="H12" s="26" t="s">
        <v>242</v>
      </c>
    </row>
    <row r="13" spans="1:8" ht="22.05" customHeight="1" x14ac:dyDescent="0.3">
      <c r="A13" s="4" t="s">
        <v>243</v>
      </c>
      <c r="B13" s="6" t="s">
        <v>244</v>
      </c>
      <c r="C13" s="27" t="s">
        <v>224</v>
      </c>
      <c r="D13" s="22" t="s">
        <v>219</v>
      </c>
      <c r="E13" s="27" t="s">
        <v>224</v>
      </c>
      <c r="F13" s="27" t="s">
        <v>224</v>
      </c>
      <c r="G13" s="23" t="s">
        <v>220</v>
      </c>
      <c r="H13" s="24" t="s">
        <v>245</v>
      </c>
    </row>
    <row r="14" spans="1:8" ht="22.05" customHeight="1" x14ac:dyDescent="0.3">
      <c r="A14" s="12" t="s">
        <v>246</v>
      </c>
      <c r="B14" s="14" t="s">
        <v>247</v>
      </c>
      <c r="C14" s="25" t="s">
        <v>224</v>
      </c>
      <c r="D14" s="25" t="s">
        <v>224</v>
      </c>
      <c r="E14" s="22" t="s">
        <v>219</v>
      </c>
      <c r="F14" s="25" t="s">
        <v>224</v>
      </c>
      <c r="G14" s="25" t="s">
        <v>224</v>
      </c>
      <c r="H14" s="26" t="s">
        <v>248</v>
      </c>
    </row>
    <row r="15" spans="1:8" ht="22.05" customHeight="1" x14ac:dyDescent="0.3">
      <c r="A15" s="4" t="s">
        <v>249</v>
      </c>
      <c r="B15" s="6" t="s">
        <v>250</v>
      </c>
      <c r="C15" s="27" t="s">
        <v>224</v>
      </c>
      <c r="D15" s="27" t="s">
        <v>224</v>
      </c>
      <c r="E15" s="27" t="s">
        <v>224</v>
      </c>
      <c r="F15" s="22" t="s">
        <v>219</v>
      </c>
      <c r="G15" s="27" t="s">
        <v>224</v>
      </c>
      <c r="H15" s="24" t="s">
        <v>251</v>
      </c>
    </row>
    <row r="16" spans="1:8" ht="22.05" customHeight="1" x14ac:dyDescent="0.3">
      <c r="A16" s="12" t="s">
        <v>252</v>
      </c>
      <c r="B16" s="14" t="s">
        <v>253</v>
      </c>
      <c r="C16" s="25" t="s">
        <v>224</v>
      </c>
      <c r="D16" s="25" t="s">
        <v>224</v>
      </c>
      <c r="E16" s="22" t="s">
        <v>219</v>
      </c>
      <c r="F16" s="25" t="s">
        <v>224</v>
      </c>
      <c r="G16" s="25" t="s">
        <v>224</v>
      </c>
      <c r="H16" s="26" t="s">
        <v>254</v>
      </c>
    </row>
    <row r="17" spans="1:8" ht="22.05" customHeight="1" x14ac:dyDescent="0.3">
      <c r="A17" s="4" t="s">
        <v>255</v>
      </c>
      <c r="B17" s="6" t="s">
        <v>256</v>
      </c>
      <c r="C17" s="27" t="s">
        <v>224</v>
      </c>
      <c r="D17" s="23" t="s">
        <v>220</v>
      </c>
      <c r="E17" s="27" t="s">
        <v>224</v>
      </c>
      <c r="F17" s="22" t="s">
        <v>219</v>
      </c>
      <c r="G17" s="23" t="s">
        <v>220</v>
      </c>
      <c r="H17" s="24" t="s">
        <v>257</v>
      </c>
    </row>
    <row r="18" spans="1:8" ht="22.05" customHeight="1" x14ac:dyDescent="0.3">
      <c r="A18" s="12" t="s">
        <v>194</v>
      </c>
      <c r="B18" s="14" t="s">
        <v>258</v>
      </c>
      <c r="C18" s="23" t="s">
        <v>220</v>
      </c>
      <c r="D18" s="25" t="s">
        <v>224</v>
      </c>
      <c r="E18" s="22" t="s">
        <v>219</v>
      </c>
      <c r="F18" s="25" t="s">
        <v>224</v>
      </c>
      <c r="G18" s="25" t="s">
        <v>224</v>
      </c>
      <c r="H18" s="26" t="s">
        <v>259</v>
      </c>
    </row>
    <row r="19" spans="1:8" ht="22.05" customHeight="1" x14ac:dyDescent="0.3">
      <c r="A19" s="4" t="s">
        <v>260</v>
      </c>
      <c r="B19" s="6" t="s">
        <v>261</v>
      </c>
      <c r="C19" s="27" t="s">
        <v>224</v>
      </c>
      <c r="D19" s="27" t="s">
        <v>224</v>
      </c>
      <c r="E19" s="27" t="s">
        <v>224</v>
      </c>
      <c r="F19" s="27" t="s">
        <v>224</v>
      </c>
      <c r="G19" s="22" t="s">
        <v>219</v>
      </c>
      <c r="H19" s="24" t="s">
        <v>262</v>
      </c>
    </row>
    <row r="20" spans="1:8" ht="22.05" customHeight="1" x14ac:dyDescent="0.3">
      <c r="A20" s="12" t="s">
        <v>263</v>
      </c>
      <c r="B20" s="14" t="s">
        <v>264</v>
      </c>
      <c r="C20" s="25" t="s">
        <v>224</v>
      </c>
      <c r="D20" s="23" t="s">
        <v>220</v>
      </c>
      <c r="E20" s="23" t="s">
        <v>220</v>
      </c>
      <c r="F20" s="25" t="s">
        <v>224</v>
      </c>
      <c r="G20" s="22" t="s">
        <v>219</v>
      </c>
      <c r="H20" s="26" t="s">
        <v>265</v>
      </c>
    </row>
    <row r="21" spans="1:8" ht="22.05" customHeight="1" x14ac:dyDescent="0.3">
      <c r="A21" s="4" t="s">
        <v>266</v>
      </c>
      <c r="B21" s="6" t="s">
        <v>267</v>
      </c>
      <c r="C21" s="27" t="s">
        <v>224</v>
      </c>
      <c r="D21" s="27" t="s">
        <v>224</v>
      </c>
      <c r="E21" s="27" t="s">
        <v>224</v>
      </c>
      <c r="F21" s="27" t="s">
        <v>224</v>
      </c>
      <c r="G21" s="22" t="s">
        <v>219</v>
      </c>
      <c r="H21" s="24" t="s">
        <v>268</v>
      </c>
    </row>
    <row r="22" spans="1:8" ht="22.05" customHeight="1" x14ac:dyDescent="0.3">
      <c r="A22" s="12" t="s">
        <v>269</v>
      </c>
      <c r="B22" s="14" t="s">
        <v>270</v>
      </c>
      <c r="C22" s="25" t="s">
        <v>224</v>
      </c>
      <c r="D22" s="22" t="s">
        <v>219</v>
      </c>
      <c r="E22" s="25" t="s">
        <v>224</v>
      </c>
      <c r="F22" s="25" t="s">
        <v>224</v>
      </c>
      <c r="G22" s="25" t="s">
        <v>224</v>
      </c>
      <c r="H22" s="26" t="s">
        <v>271</v>
      </c>
    </row>
    <row r="23" spans="1:8" ht="22.05" customHeight="1" x14ac:dyDescent="0.3">
      <c r="A23" s="4" t="s">
        <v>272</v>
      </c>
      <c r="B23" s="6" t="s">
        <v>273</v>
      </c>
      <c r="C23" s="27" t="s">
        <v>224</v>
      </c>
      <c r="D23" s="27" t="s">
        <v>224</v>
      </c>
      <c r="E23" s="22" t="s">
        <v>219</v>
      </c>
      <c r="F23" s="27" t="s">
        <v>224</v>
      </c>
      <c r="G23" s="27" t="s">
        <v>224</v>
      </c>
      <c r="H23" s="24" t="s">
        <v>271</v>
      </c>
    </row>
    <row r="24" spans="1:8" ht="22.05" customHeight="1" x14ac:dyDescent="0.3">
      <c r="A24" s="12" t="s">
        <v>274</v>
      </c>
      <c r="B24" s="14" t="s">
        <v>275</v>
      </c>
      <c r="C24" s="25" t="s">
        <v>224</v>
      </c>
      <c r="D24" s="25" t="s">
        <v>224</v>
      </c>
      <c r="E24" s="25" t="s">
        <v>224</v>
      </c>
      <c r="F24" s="22" t="s">
        <v>219</v>
      </c>
      <c r="G24" s="25" t="s">
        <v>224</v>
      </c>
      <c r="H24" s="26" t="s">
        <v>276</v>
      </c>
    </row>
    <row r="25" spans="1:8" ht="22.05" customHeight="1" x14ac:dyDescent="0.3">
      <c r="A25" s="4" t="s">
        <v>277</v>
      </c>
      <c r="B25" s="6" t="s">
        <v>278</v>
      </c>
      <c r="C25" s="27" t="s">
        <v>224</v>
      </c>
      <c r="D25" s="27" t="s">
        <v>224</v>
      </c>
      <c r="E25" s="22" t="s">
        <v>219</v>
      </c>
      <c r="F25" s="27" t="s">
        <v>224</v>
      </c>
      <c r="G25" s="27" t="s">
        <v>224</v>
      </c>
      <c r="H25" s="24" t="s">
        <v>271</v>
      </c>
    </row>
    <row r="26" spans="1:8" ht="22.05" customHeight="1" x14ac:dyDescent="0.3">
      <c r="A26" s="12" t="s">
        <v>279</v>
      </c>
      <c r="B26" s="14" t="s">
        <v>280</v>
      </c>
      <c r="C26" s="25" t="s">
        <v>224</v>
      </c>
      <c r="D26" s="25" t="s">
        <v>224</v>
      </c>
      <c r="E26" s="25" t="s">
        <v>224</v>
      </c>
      <c r="F26" s="22" t="s">
        <v>219</v>
      </c>
      <c r="G26" s="22" t="s">
        <v>219</v>
      </c>
      <c r="H26" s="26" t="s">
        <v>281</v>
      </c>
    </row>
    <row r="27" spans="1:8" ht="22.05" customHeight="1" x14ac:dyDescent="0.3">
      <c r="A27" s="4" t="s">
        <v>282</v>
      </c>
      <c r="B27" s="6" t="s">
        <v>283</v>
      </c>
      <c r="C27" s="27" t="s">
        <v>224</v>
      </c>
      <c r="D27" s="27" t="s">
        <v>224</v>
      </c>
      <c r="E27" s="27" t="s">
        <v>224</v>
      </c>
      <c r="F27" s="27" t="s">
        <v>224</v>
      </c>
      <c r="G27" s="22" t="s">
        <v>219</v>
      </c>
      <c r="H27" s="24" t="s">
        <v>284</v>
      </c>
    </row>
    <row r="28" spans="1:8" ht="22.05" customHeight="1" x14ac:dyDescent="0.3">
      <c r="A28" s="12" t="s">
        <v>285</v>
      </c>
      <c r="B28" s="14" t="s">
        <v>286</v>
      </c>
      <c r="C28" s="22" t="s">
        <v>219</v>
      </c>
      <c r="D28" s="23" t="s">
        <v>220</v>
      </c>
      <c r="E28" s="23" t="s">
        <v>220</v>
      </c>
      <c r="F28" s="23" t="s">
        <v>220</v>
      </c>
      <c r="G28" s="23" t="s">
        <v>220</v>
      </c>
      <c r="H28" s="26" t="s">
        <v>287</v>
      </c>
    </row>
    <row r="29" spans="1:8" ht="22.05" customHeight="1" x14ac:dyDescent="0.3">
      <c r="A29" s="4" t="s">
        <v>184</v>
      </c>
      <c r="B29" s="6" t="s">
        <v>288</v>
      </c>
      <c r="C29" s="23" t="s">
        <v>220</v>
      </c>
      <c r="D29" s="22" t="s">
        <v>289</v>
      </c>
      <c r="E29" s="22" t="s">
        <v>290</v>
      </c>
      <c r="F29" s="22" t="s">
        <v>291</v>
      </c>
      <c r="G29" s="22" t="s">
        <v>292</v>
      </c>
      <c r="H29" s="24" t="s">
        <v>293</v>
      </c>
    </row>
    <row r="30" spans="1:8" ht="22.05" customHeight="1" x14ac:dyDescent="0.3">
      <c r="A30" s="12" t="s">
        <v>294</v>
      </c>
      <c r="B30" s="14" t="s">
        <v>295</v>
      </c>
      <c r="C30" s="22" t="s">
        <v>219</v>
      </c>
      <c r="D30" s="25" t="s">
        <v>224</v>
      </c>
      <c r="E30" s="25" t="s">
        <v>224</v>
      </c>
      <c r="F30" s="25" t="s">
        <v>224</v>
      </c>
      <c r="G30" s="25" t="s">
        <v>224</v>
      </c>
      <c r="H30" s="26" t="s">
        <v>296</v>
      </c>
    </row>
    <row r="31" spans="1:8" ht="22.05" customHeight="1" x14ac:dyDescent="0.3">
      <c r="A31" s="4" t="s">
        <v>297</v>
      </c>
      <c r="B31" s="6" t="s">
        <v>298</v>
      </c>
      <c r="C31" s="22" t="s">
        <v>219</v>
      </c>
      <c r="D31" s="23" t="s">
        <v>220</v>
      </c>
      <c r="E31" s="23" t="s">
        <v>220</v>
      </c>
      <c r="F31" s="23" t="s">
        <v>220</v>
      </c>
      <c r="G31" s="23" t="s">
        <v>220</v>
      </c>
      <c r="H31" s="24" t="s">
        <v>299</v>
      </c>
    </row>
    <row r="32" spans="1:8" ht="22.05" customHeight="1" x14ac:dyDescent="0.3">
      <c r="A32" s="12" t="s">
        <v>300</v>
      </c>
      <c r="B32" s="14" t="s">
        <v>301</v>
      </c>
      <c r="C32" s="22" t="s">
        <v>219</v>
      </c>
      <c r="D32" s="23" t="s">
        <v>220</v>
      </c>
      <c r="E32" s="25" t="s">
        <v>224</v>
      </c>
      <c r="F32" s="25" t="s">
        <v>224</v>
      </c>
      <c r="G32" s="23" t="s">
        <v>220</v>
      </c>
      <c r="H32" s="26" t="s">
        <v>302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80"/>
  </sheetPr>
  <dimension ref="A1:F10"/>
  <sheetViews>
    <sheetView tabSelected="1" workbookViewId="0">
      <selection sqref="A1:F1"/>
    </sheetView>
  </sheetViews>
  <sheetFormatPr defaultRowHeight="14.4" x14ac:dyDescent="0.3"/>
  <cols>
    <col min="1" max="1" width="6" customWidth="1"/>
    <col min="2" max="2" width="25" customWidth="1"/>
    <col min="3" max="3" width="52" customWidth="1"/>
    <col min="4" max="4" width="30" customWidth="1"/>
    <col min="5" max="5" width="20" customWidth="1"/>
    <col min="6" max="6" width="14" customWidth="1"/>
  </cols>
  <sheetData>
    <row r="1" spans="1:6" x14ac:dyDescent="0.3">
      <c r="A1" s="47" t="s">
        <v>303</v>
      </c>
      <c r="B1" s="34"/>
      <c r="C1" s="34"/>
      <c r="D1" s="34"/>
      <c r="E1" s="34"/>
      <c r="F1" s="34"/>
    </row>
    <row r="2" spans="1:6" x14ac:dyDescent="0.3">
      <c r="A2" s="45" t="s">
        <v>304</v>
      </c>
      <c r="B2" s="34"/>
      <c r="C2" s="34"/>
      <c r="D2" s="34"/>
      <c r="E2" s="34"/>
      <c r="F2" s="34"/>
    </row>
    <row r="4" spans="1:6" ht="28.05" customHeight="1" x14ac:dyDescent="0.3">
      <c r="A4" s="28" t="s">
        <v>13</v>
      </c>
      <c r="B4" s="28" t="s">
        <v>305</v>
      </c>
      <c r="C4" s="28" t="s">
        <v>306</v>
      </c>
      <c r="D4" s="28" t="s">
        <v>307</v>
      </c>
      <c r="E4" s="28" t="s">
        <v>308</v>
      </c>
      <c r="F4" s="28" t="s">
        <v>25</v>
      </c>
    </row>
    <row r="5" spans="1:6" ht="54" customHeight="1" x14ac:dyDescent="0.3">
      <c r="A5" s="3">
        <v>1</v>
      </c>
      <c r="B5" s="5" t="s">
        <v>309</v>
      </c>
      <c r="C5" s="6" t="s">
        <v>310</v>
      </c>
      <c r="D5" s="6" t="s">
        <v>311</v>
      </c>
      <c r="E5" s="6" t="s">
        <v>312</v>
      </c>
      <c r="F5" s="9" t="s">
        <v>313</v>
      </c>
    </row>
    <row r="6" spans="1:6" ht="54" customHeight="1" x14ac:dyDescent="0.3">
      <c r="A6" s="11">
        <v>2</v>
      </c>
      <c r="B6" s="13" t="s">
        <v>314</v>
      </c>
      <c r="C6" s="14" t="s">
        <v>315</v>
      </c>
      <c r="D6" s="14" t="s">
        <v>316</v>
      </c>
      <c r="E6" s="14" t="s">
        <v>317</v>
      </c>
      <c r="F6" s="9" t="s">
        <v>313</v>
      </c>
    </row>
    <row r="7" spans="1:6" ht="54" customHeight="1" x14ac:dyDescent="0.3">
      <c r="A7" s="3">
        <v>3</v>
      </c>
      <c r="B7" s="5" t="s">
        <v>318</v>
      </c>
      <c r="C7" s="6" t="s">
        <v>319</v>
      </c>
      <c r="D7" s="6" t="s">
        <v>320</v>
      </c>
      <c r="E7" s="6" t="s">
        <v>317</v>
      </c>
      <c r="F7" s="9" t="s">
        <v>313</v>
      </c>
    </row>
    <row r="8" spans="1:6" ht="54" customHeight="1" x14ac:dyDescent="0.3">
      <c r="A8" s="11">
        <v>4</v>
      </c>
      <c r="B8" s="13" t="s">
        <v>321</v>
      </c>
      <c r="C8" s="14" t="s">
        <v>322</v>
      </c>
      <c r="D8" s="14" t="s">
        <v>323</v>
      </c>
      <c r="E8" s="14" t="s">
        <v>324</v>
      </c>
      <c r="F8" s="9" t="s">
        <v>313</v>
      </c>
    </row>
    <row r="9" spans="1:6" ht="54" customHeight="1" x14ac:dyDescent="0.3">
      <c r="A9" s="3">
        <v>5</v>
      </c>
      <c r="B9" s="5" t="s">
        <v>325</v>
      </c>
      <c r="C9" s="6" t="s">
        <v>326</v>
      </c>
      <c r="D9" s="6" t="s">
        <v>327</v>
      </c>
      <c r="E9" s="6" t="s">
        <v>328</v>
      </c>
      <c r="F9" s="9" t="s">
        <v>313</v>
      </c>
    </row>
    <row r="10" spans="1:6" ht="54" customHeight="1" x14ac:dyDescent="0.3">
      <c r="A10" s="11">
        <v>6</v>
      </c>
      <c r="B10" s="13" t="s">
        <v>329</v>
      </c>
      <c r="C10" s="14" t="s">
        <v>330</v>
      </c>
      <c r="D10" s="14" t="s">
        <v>331</v>
      </c>
      <c r="E10" s="14" t="s">
        <v>332</v>
      </c>
      <c r="F10" s="9" t="s">
        <v>313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Theo_Doi_Tien_Do</vt:lpstr>
      <vt:lpstr>Mau_Theo_Doi_Chuan</vt:lpstr>
      <vt:lpstr>Chi_Tiet_WBS_4_Tuan</vt:lpstr>
      <vt:lpstr>Ma_Tran_RACI_Bao_Cao</vt:lpstr>
      <vt:lpstr>Tieu_Chuan_DoD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Điền Thạch Quốc</cp:lastModifiedBy>
  <dcterms:created xsi:type="dcterms:W3CDTF">2026-09-11T14:12:13Z</dcterms:created>
  <dcterms:modified xsi:type="dcterms:W3CDTF">2026-09-11T14:16:16Z</dcterms:modified>
</cp:coreProperties>
</file>